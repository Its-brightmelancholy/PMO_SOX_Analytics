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ountassir\Downloads\"/>
    </mc:Choice>
  </mc:AlternateContent>
  <xr:revisionPtr revIDLastSave="0" documentId="8_{483A06DB-C68C-41E7-BE83-D44A9258F695}" xr6:coauthVersionLast="47" xr6:coauthVersionMax="47" xr10:uidLastSave="{00000000-0000-0000-0000-000000000000}"/>
  <bookViews>
    <workbookView xWindow="-108" yWindow="-108" windowWidth="23256" windowHeight="12456" xr2:uid="{3A6FA3EB-B5BA-49D2-80D5-BDF97E505064}"/>
  </bookViews>
  <sheets>
    <sheet name="PROJECTS" sheetId="1" r:id="rId1"/>
    <sheet name="CONTROLS" sheetId="2" r:id="rId2"/>
    <sheet name="AUDIT FINDINGS" sheetId="3" r:id="rId3"/>
    <sheet name="MILESTONES" sheetId="4" r:id="rId4"/>
    <sheet name="BUDGET TRACKING" sheetId="5" r:id="rId5"/>
  </sheets>
  <definedNames>
    <definedName name="_xlnm._FilterDatabase" localSheetId="0" hidden="1">PROJECTS!$A$1:$K$31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</calcChain>
</file>

<file path=xl/sharedStrings.xml><?xml version="1.0" encoding="utf-8"?>
<sst xmlns="http://schemas.openxmlformats.org/spreadsheetml/2006/main" count="1507" uniqueCount="516">
  <si>
    <t>ProjectID</t>
  </si>
  <si>
    <t>ProjectName</t>
  </si>
  <si>
    <t>Department</t>
  </si>
  <si>
    <t>ProjectManager</t>
  </si>
  <si>
    <t>Priority</t>
  </si>
  <si>
    <t>Status</t>
  </si>
  <si>
    <t>StartDate</t>
  </si>
  <si>
    <t>PlannedEndDate</t>
  </si>
  <si>
    <t>ActualEndDate</t>
  </si>
  <si>
    <t>ProjectBudget</t>
  </si>
  <si>
    <t>ERP System Upgrade</t>
  </si>
  <si>
    <t>Finance</t>
  </si>
  <si>
    <t>Anna Kowalski</t>
  </si>
  <si>
    <t>High</t>
  </si>
  <si>
    <t>Completed</t>
  </si>
  <si>
    <t>2024-07-45</t>
  </si>
  <si>
    <t>SOX Remediation Program</t>
  </si>
  <si>
    <t>Compliance</t>
  </si>
  <si>
    <t>Marco Rossi</t>
  </si>
  <si>
    <t>Active</t>
  </si>
  <si>
    <t>Cloud Infrastructure Migration</t>
  </si>
  <si>
    <t>IT</t>
  </si>
  <si>
    <t>David Chen</t>
  </si>
  <si>
    <t>HR System Implementation</t>
  </si>
  <si>
    <t>HR</t>
  </si>
  <si>
    <t>Sarah Johnson</t>
  </si>
  <si>
    <t>Medium</t>
  </si>
  <si>
    <t>Data Warehouse Consolidation</t>
  </si>
  <si>
    <t>Internal Audit Tool Deployment</t>
  </si>
  <si>
    <t>Branch Network Expansion</t>
  </si>
  <si>
    <t>Operations</t>
  </si>
  <si>
    <t>Elena Petrova</t>
  </si>
  <si>
    <t>Cybersecurity Framework Update</t>
  </si>
  <si>
    <t>Finance Reporting Automation</t>
  </si>
  <si>
    <t>Delayed</t>
  </si>
  <si>
    <t>Vendor Management Platform</t>
  </si>
  <si>
    <t>Procurement</t>
  </si>
  <si>
    <t>James Okafor</t>
  </si>
  <si>
    <t>Business Continuity Planning</t>
  </si>
  <si>
    <t>Risk</t>
  </si>
  <si>
    <t>Access Control Remediation</t>
  </si>
  <si>
    <t>Regulatory Reporting Upgrade</t>
  </si>
  <si>
    <t>Budget Planning Tool Rollout</t>
  </si>
  <si>
    <t>On Hold</t>
  </si>
  <si>
    <t>Supply Chain Digitization</t>
  </si>
  <si>
    <t>Identity Management Overhaul</t>
  </si>
  <si>
    <t>SOX Training Program</t>
  </si>
  <si>
    <t>Financial Close Optimization</t>
  </si>
  <si>
    <t>Procurement Compliance Review</t>
  </si>
  <si>
    <t>IT Disaster Recovery Update</t>
  </si>
  <si>
    <t>Internal Controls Documentation</t>
  </si>
  <si>
    <t>Payroll System Migration</t>
  </si>
  <si>
    <t>Customer Data Governance</t>
  </si>
  <si>
    <t>Fixed Assets Management Update</t>
  </si>
  <si>
    <t>Change Management Framework</t>
  </si>
  <si>
    <t>PMO</t>
  </si>
  <si>
    <t>Audit Evidence Repository</t>
  </si>
  <si>
    <t>Tax Reporting Compliance</t>
  </si>
  <si>
    <t>Network Security Hardening</t>
  </si>
  <si>
    <t>Operational Risk Framework</t>
  </si>
  <si>
    <t>PMO Dashboard Implementation</t>
  </si>
  <si>
    <t>No</t>
  </si>
  <si>
    <t>IsSOXRelevant</t>
  </si>
  <si>
    <t>PRJ-001</t>
  </si>
  <si>
    <t>Yes</t>
  </si>
  <si>
    <t>PRJ-002</t>
  </si>
  <si>
    <t>PRJ-003</t>
  </si>
  <si>
    <t>PRJ-004</t>
  </si>
  <si>
    <t>PRJ-005</t>
  </si>
  <si>
    <t>PRJ-006</t>
  </si>
  <si>
    <t>PRJ-007</t>
  </si>
  <si>
    <t>PRJ-008</t>
  </si>
  <si>
    <t>PRJ-009</t>
  </si>
  <si>
    <t>PRJ-010</t>
  </si>
  <si>
    <t>PRJ-011</t>
  </si>
  <si>
    <t>PRJ-012</t>
  </si>
  <si>
    <t>PRJ-013</t>
  </si>
  <si>
    <t>PRJ-014</t>
  </si>
  <si>
    <t>PRJ-015</t>
  </si>
  <si>
    <t>PRJ-016</t>
  </si>
  <si>
    <t>PRJ-017</t>
  </si>
  <si>
    <t>PRJ-018</t>
  </si>
  <si>
    <t>PRJ-019</t>
  </si>
  <si>
    <t>PRJ-020</t>
  </si>
  <si>
    <t>PRJ-021</t>
  </si>
  <si>
    <t>PRJ-022</t>
  </si>
  <si>
    <t>PRJ-023</t>
  </si>
  <si>
    <t>PRJ-024</t>
  </si>
  <si>
    <t>PRJ-025</t>
  </si>
  <si>
    <t>PRJ-026</t>
  </si>
  <si>
    <t>PRJ-027</t>
  </si>
  <si>
    <t>PRJ-028</t>
  </si>
  <si>
    <t>PRJ-029</t>
  </si>
  <si>
    <t>PRJ-030</t>
  </si>
  <si>
    <t>ControlID</t>
  </si>
  <si>
    <t>ControlName</t>
  </si>
  <si>
    <t>ControlDescription</t>
  </si>
  <si>
    <t>ControlType</t>
  </si>
  <si>
    <t>RiskRating</t>
  </si>
  <si>
    <t>ControlOwner</t>
  </si>
  <si>
    <t>TestingFrequency</t>
  </si>
  <si>
    <t>ITGCCategory</t>
  </si>
  <si>
    <t>LastTestedDate</t>
  </si>
  <si>
    <t>EvidenceStatus</t>
  </si>
  <si>
    <t>CTR-001</t>
  </si>
  <si>
    <t>Quarterly User Access Review</t>
  </si>
  <si>
    <t>All user accounts in financial systems are reviewed quarterly to ensure access matches current job roles</t>
  </si>
  <si>
    <t>Detective</t>
  </si>
  <si>
    <t>Quarterly</t>
  </si>
  <si>
    <t>Access Management</t>
  </si>
  <si>
    <t>Collected</t>
  </si>
  <si>
    <t>CTR-002</t>
  </si>
  <si>
    <t>Privileged Access Monitoring</t>
  </si>
  <si>
    <t>Privileged and admin accounts are logged and reviewed monthly for unauthorized activity</t>
  </si>
  <si>
    <t>Critical</t>
  </si>
  <si>
    <t>CTR-003</t>
  </si>
  <si>
    <t>Segregation of Duties Enforcement</t>
  </si>
  <si>
    <t>No single user has both transaction initiation and approval rights in financial systems</t>
  </si>
  <si>
    <t>Preventive</t>
  </si>
  <si>
    <t>Pending</t>
  </si>
  <si>
    <t>CTR-004</t>
  </si>
  <si>
    <t>New User Access Provisioning</t>
  </si>
  <si>
    <t>New employees receive system access only after formal approval from their line manager and IT Security</t>
  </si>
  <si>
    <t>CTR-005</t>
  </si>
  <si>
    <t>Terminated User Access Revocation</t>
  </si>
  <si>
    <t>Access for all terminated employees is revoked within 24 hours of HR notification</t>
  </si>
  <si>
    <t>Missing</t>
  </si>
  <si>
    <t>CTR-006</t>
  </si>
  <si>
    <t>Change Management Approval</t>
  </si>
  <si>
    <t>All changes to financial systems require formal approval through the change advisory board</t>
  </si>
  <si>
    <t>Change Management</t>
  </si>
  <si>
    <t>CTR-007</t>
  </si>
  <si>
    <t>Emergency Change Procedure</t>
  </si>
  <si>
    <t>Emergency changes to production systems follow a documented expedited process with post-implementation review</t>
  </si>
  <si>
    <t>Semi-Annual</t>
  </si>
  <si>
    <t>CTR-008</t>
  </si>
  <si>
    <t>Change Testing and Validation</t>
  </si>
  <si>
    <t>All system changes are tested in a non-production environment before deployment to production</t>
  </si>
  <si>
    <t>CTR-009</t>
  </si>
  <si>
    <t>Release Management Control</t>
  </si>
  <si>
    <t>Software releases follow a documented release management process with version control</t>
  </si>
  <si>
    <t>CTR-010</t>
  </si>
  <si>
    <t>Patch Management Process</t>
  </si>
  <si>
    <t>Security patches are applied within 30 days of release for critical systems</t>
  </si>
  <si>
    <t>CTR-011</t>
  </si>
  <si>
    <t>Backup and Recovery Testing</t>
  </si>
  <si>
    <t>System backups are performed daily and recovery is tested quarterly</t>
  </si>
  <si>
    <t>CTR-012</t>
  </si>
  <si>
    <t>System Availability Monitoring</t>
  </si>
  <si>
    <t>Critical financial systems are monitored 24/7 with automated alerting for downtime</t>
  </si>
  <si>
    <t>CTR-013</t>
  </si>
  <si>
    <t>Incident Management Process</t>
  </si>
  <si>
    <t>All IT incidents affecting financial systems are logged tracked and resolved within defined SLAs</t>
  </si>
  <si>
    <t>CTR-014</t>
  </si>
  <si>
    <t>Data Backup Encryption</t>
  </si>
  <si>
    <t>All backup data is encrypted using approved encryption standards</t>
  </si>
  <si>
    <t>CTR-015</t>
  </si>
  <si>
    <t>Journal Entry Approval</t>
  </si>
  <si>
    <t>All manual journal entries above threshold require secondary approval before posting</t>
  </si>
  <si>
    <t>Financial Reporting</t>
  </si>
  <si>
    <t>CTR-016</t>
  </si>
  <si>
    <t>Financial Close Checklist</t>
  </si>
  <si>
    <t>A formal checklist is completed and signed off by Finance Director for every monthly close</t>
  </si>
  <si>
    <t>CTR-017</t>
  </si>
  <si>
    <t>Account Reconciliation Review</t>
  </si>
  <si>
    <t>All balance sheet accounts are reconciled monthly and reviewed by Finance Manager</t>
  </si>
  <si>
    <t>CTR-018</t>
  </si>
  <si>
    <t>Variance Analysis Review</t>
  </si>
  <si>
    <t>Budget versus actual variances exceeding 10% are formally investigated and documented</t>
  </si>
  <si>
    <t>CTR-019</t>
  </si>
  <si>
    <t>Financial Report Review</t>
  </si>
  <si>
    <t>Monthly financial statements are reviewed and approved by CFO before distribution</t>
  </si>
  <si>
    <t>CTR-020</t>
  </si>
  <si>
    <t>Intercompany Reconciliation</t>
  </si>
  <si>
    <t>Intercompany transactions are reconciled monthly and differences resolved before close</t>
  </si>
  <si>
    <t>CTR-021</t>
  </si>
  <si>
    <t>SOD Conflict Monitoring</t>
  </si>
  <si>
    <t>Automated monitoring detects and alerts on segregation of duties conflicts in financial systems</t>
  </si>
  <si>
    <t>CTR-022</t>
  </si>
  <si>
    <t>Password Policy Enforcement</t>
  </si>
  <si>
    <t>Password complexity length and rotation requirements are enforced by system policy</t>
  </si>
  <si>
    <t>CTR-023</t>
  </si>
  <si>
    <t>Multi-Factor Authentication</t>
  </si>
  <si>
    <t>MFA is required for all remote access to financial systems</t>
  </si>
  <si>
    <t>CTR-024</t>
  </si>
  <si>
    <t>Third Party Access Review</t>
  </si>
  <si>
    <t>Access granted to vendors and contractors is reviewed quarterly and revoked when no longer needed</t>
  </si>
  <si>
    <t>CTR-025</t>
  </si>
  <si>
    <t>Data Retention Policy</t>
  </si>
  <si>
    <t>Financial data is retained for minimum 7 years per regulatory requirements</t>
  </si>
  <si>
    <t>Annual</t>
  </si>
  <si>
    <t>CTR-026</t>
  </si>
  <si>
    <t>Procurement Approval Workflow</t>
  </si>
  <si>
    <t>All purchases above defined thresholds require dual approval before order placement</t>
  </si>
  <si>
    <t>CTR-027</t>
  </si>
  <si>
    <t>Invoice Matching Control</t>
  </si>
  <si>
    <t>Three-way matching of purchase order invoice and goods receipt is performed before payment</t>
  </si>
  <si>
    <t>CTR-028</t>
  </si>
  <si>
    <t>Payment Authorization Control</t>
  </si>
  <si>
    <t>All payments above threshold require CFO approval before processing</t>
  </si>
  <si>
    <t>CTR-029</t>
  </si>
  <si>
    <t>Fixed Asset Verification</t>
  </si>
  <si>
    <t>Physical verification of fixed assets is performed annually and reconciled to the asset register</t>
  </si>
  <si>
    <t>CTR-030</t>
  </si>
  <si>
    <t>Expense Report Approval</t>
  </si>
  <si>
    <t>All employee expense reports require manager approval before reimbursement</t>
  </si>
  <si>
    <t>CTR-031</t>
  </si>
  <si>
    <t>IT Security Policy Review</t>
  </si>
  <si>
    <t>IT Security policies are reviewed and updated annually and communicated to all staff</t>
  </si>
  <si>
    <t>CTR-032</t>
  </si>
  <si>
    <t>Vulnerability Assessment</t>
  </si>
  <si>
    <t>Quarterly vulnerability scans are performed on all financial system infrastructure</t>
  </si>
  <si>
    <t>CTR-033</t>
  </si>
  <si>
    <t>Firewall Rule Review</t>
  </si>
  <si>
    <t>Firewall rules are reviewed semi-annually and unauthorized rules are removed</t>
  </si>
  <si>
    <t>CTR-034</t>
  </si>
  <si>
    <t>Data Loss Prevention Monitoring</t>
  </si>
  <si>
    <t>DLP tools monitor and block unauthorized transfer of sensitive financial data</t>
  </si>
  <si>
    <t>CTR-035</t>
  </si>
  <si>
    <t>Logical Access Audit Log</t>
  </si>
  <si>
    <t>All access to financial systems is logged and logs are retained for minimum 12 months</t>
  </si>
  <si>
    <t>CTR-036</t>
  </si>
  <si>
    <t>System Configuration Baseline</t>
  </si>
  <si>
    <t>Financial system configurations are documented and deviations are detected and remediated</t>
  </si>
  <si>
    <t>CTR-037</t>
  </si>
  <si>
    <t>Payroll Authorization Review</t>
  </si>
  <si>
    <t>Payroll changes including new hires terminations and salary changes require HR Director approval</t>
  </si>
  <si>
    <t>CTR-038</t>
  </si>
  <si>
    <t>Tax Filing Review</t>
  </si>
  <si>
    <t>All tax filings are reviewed by Tax Manager and approved by CFO before submission</t>
  </si>
  <si>
    <t>CTR-039</t>
  </si>
  <si>
    <t>Regulatory Reporting Review</t>
  </si>
  <si>
    <t>All regulatory reports are reviewed for accuracy before submission to regulators</t>
  </si>
  <si>
    <t>CTR-040</t>
  </si>
  <si>
    <t>Audit Committee Reporting</t>
  </si>
  <si>
    <t>Quarterly compliance status reports are presented to the Audit Committee</t>
  </si>
  <si>
    <t>CTR-041</t>
  </si>
  <si>
    <t>Business Continuity Plan Testing</t>
  </si>
  <si>
    <t>BCP is tested annually with results documented and gaps remediated</t>
  </si>
  <si>
    <t>CTR-042</t>
  </si>
  <si>
    <t>Risk Assessment Process</t>
  </si>
  <si>
    <t>Formal risk assessments are conducted semi-annually for all critical business processes</t>
  </si>
  <si>
    <t>CTR-043</t>
  </si>
  <si>
    <t>Whistleblower Hotline</t>
  </si>
  <si>
    <t>An anonymous reporting mechanism exists and is communicated to all employees annually</t>
  </si>
  <si>
    <t>CTR-044</t>
  </si>
  <si>
    <t>Code of Conduct Acknowledgment</t>
  </si>
  <si>
    <t>All employees acknowledge the Code of Conduct annually</t>
  </si>
  <si>
    <t>CTR-045</t>
  </si>
  <si>
    <t>SOX Training Completion</t>
  </si>
  <si>
    <t>All control owners complete mandatory SOX training annually</t>
  </si>
  <si>
    <t>CTR-046</t>
  </si>
  <si>
    <t>Internal Audit Independence</t>
  </si>
  <si>
    <t>Internal audit function operates independently from management with direct reporting to Audit Committee</t>
  </si>
  <si>
    <t>CTR-047</t>
  </si>
  <si>
    <t>Financial System Access Log Review</t>
  </si>
  <si>
    <t>Automated review of financial system access logs for anomalous activity runs weekly</t>
  </si>
  <si>
    <t>CTR-048</t>
  </si>
  <si>
    <t>Outsourced Service Provider Review</t>
  </si>
  <si>
    <t>Controls at outsourced service providers are reviewed via SOC reports annually</t>
  </si>
  <si>
    <t>CTR-049</t>
  </si>
  <si>
    <t>Anti-Fraud Monitoring</t>
  </si>
  <si>
    <t>Automated transaction monitoring detects unusual patterns that may indicate fraud</t>
  </si>
  <si>
    <t>CTR-050</t>
  </si>
  <si>
    <t>Management Override Monitoring</t>
  </si>
  <si>
    <t>Any management override of system controls is logged reviewed and approved by the Audit Committee</t>
  </si>
  <si>
    <t>FindingID</t>
  </si>
  <si>
    <t>FindingTitle</t>
  </si>
  <si>
    <t>Severity</t>
  </si>
  <si>
    <t>RootCause</t>
  </si>
  <si>
    <t>FindingOwner</t>
  </si>
  <si>
    <t>DateIdentified</t>
  </si>
  <si>
    <t>RemediationDeadline</t>
  </si>
  <si>
    <t>RemediationStatus</t>
  </si>
  <si>
    <t>DateClosed</t>
  </si>
  <si>
    <t>AuditCycle</t>
  </si>
  <si>
    <t>FND-001</t>
  </si>
  <si>
    <t>Terminated employee accounts not revoked within SLA</t>
  </si>
  <si>
    <t>HR offboarding process does not notify IT Security automatically</t>
  </si>
  <si>
    <t>Closed</t>
  </si>
  <si>
    <t>2024-Q1</t>
  </si>
  <si>
    <t>FND-002</t>
  </si>
  <si>
    <t>SOD conflict detected for 3 Finance users</t>
  </si>
  <si>
    <t>Role assignment process does not check for SoD conflicts</t>
  </si>
  <si>
    <t>FND-003</t>
  </si>
  <si>
    <t>Account reconciliation completed 12 days after deadline</t>
  </si>
  <si>
    <t>Understaffed finance team during peak period</t>
  </si>
  <si>
    <t>FND-004</t>
  </si>
  <si>
    <t>Change deployed to production without test evidence</t>
  </si>
  <si>
    <t>Test environment was unavailable due to infrastructure issue</t>
  </si>
  <si>
    <t>FND-005</t>
  </si>
  <si>
    <t>Intercompany reconciliation not completed for January close</t>
  </si>
  <si>
    <t>Manual process with no automated reminder or escalation</t>
  </si>
  <si>
    <t>FND-006</t>
  </si>
  <si>
    <t>14 vendor accounts active beyond contract end date</t>
  </si>
  <si>
    <t>No automated deprovisioning for vendor access</t>
  </si>
  <si>
    <t>FND-007</t>
  </si>
  <si>
    <t>5 journal entries posted without secondary approval</t>
  </si>
  <si>
    <t>System workflow bypassed due to month-end time pressure</t>
  </si>
  <si>
    <t>FND-008</t>
  </si>
  <si>
    <t>Critical security patches not applied within 30-day SLA</t>
  </si>
  <si>
    <t>Patch management tool misconfigured for new server group</t>
  </si>
  <si>
    <t>FND-009</t>
  </si>
  <si>
    <t>Firewall review not completed for Q1</t>
  </si>
  <si>
    <t>Responsible engineer on extended leave with no backup assigned</t>
  </si>
  <si>
    <t>FND-010</t>
  </si>
  <si>
    <t>Regulatory report submitted without CFO review</t>
  </si>
  <si>
    <t>Approval workflow not enforced in reporting tool</t>
  </si>
  <si>
    <t>FND-011</t>
  </si>
  <si>
    <t>Q1 access review completed 18 days late</t>
  </si>
  <si>
    <t>No automated reminder system for review deadlines</t>
  </si>
  <si>
    <t>2024-Q2</t>
  </si>
  <si>
    <t>FND-012</t>
  </si>
  <si>
    <t>23 invoices paid without three-way match completion</t>
  </si>
  <si>
    <t>Three-way match bypassed for urgent vendor payments</t>
  </si>
  <si>
    <t>FND-013</t>
  </si>
  <si>
    <t>Financial close checklist missing CFO signature for March</t>
  </si>
  <si>
    <t>Checklist submitted digitally but signature field was optional</t>
  </si>
  <si>
    <t>FND-014</t>
  </si>
  <si>
    <t>SoD monitoring tool offline for 11 days without detection</t>
  </si>
  <si>
    <t>Monitoring tool failure not captured by system alerting</t>
  </si>
  <si>
    <t>In Progress</t>
  </si>
  <si>
    <t>FND-015</t>
  </si>
  <si>
    <t>Anti-fraud monitoring alerts not reviewed for 6 weeks</t>
  </si>
  <si>
    <t>Alert review process not formally assigned to an owner</t>
  </si>
  <si>
    <t>FND-016</t>
  </si>
  <si>
    <t>Payroll changes processed without HR Director approval for 2 employees</t>
  </si>
  <si>
    <t>Approval workflow had a configuration error after system update</t>
  </si>
  <si>
    <t>FND-017</t>
  </si>
  <si>
    <t>8 IT incidents not resolved within SLA for April</t>
  </si>
  <si>
    <t>Insufficient helpdesk capacity during cloud migration peak</t>
  </si>
  <si>
    <t>FND-018</t>
  </si>
  <si>
    <t>3 new users provisioned without documented manager approval</t>
  </si>
  <si>
    <t>Approval form not required in expedited onboarding process</t>
  </si>
  <si>
    <t>FND-019</t>
  </si>
  <si>
    <t>April financial statements distributed before CFO review</t>
  </si>
  <si>
    <t>Distribution list triggered automatically before approval step</t>
  </si>
  <si>
    <t>Open</t>
  </si>
  <si>
    <t>FND-020</t>
  </si>
  <si>
    <t>Management override of payment limit not reported to Audit Committee</t>
  </si>
  <si>
    <t>Override reporting process not documented in procedure</t>
  </si>
  <si>
    <t>FND-021</t>
  </si>
  <si>
    <t>Privileged account used for routine tasks over 30-day period</t>
  </si>
  <si>
    <t>IT engineer used admin account for daily operations due to workload</t>
  </si>
  <si>
    <t>FND-022</t>
  </si>
  <si>
    <t>Payment of EUR 85000 processed without CFO approval</t>
  </si>
  <si>
    <t>Payment system threshold setting was incorrect after upgrade</t>
  </si>
  <si>
    <t>FND-023</t>
  </si>
  <si>
    <t>New SoD conflict introduced during identity management project</t>
  </si>
  <si>
    <t>Project team not consulted compliance team before role changes</t>
  </si>
  <si>
    <t>FND-024</t>
  </si>
  <si>
    <t>Backup recovery test failed for financial reporting database</t>
  </si>
  <si>
    <t>Recovery procedure not updated after database migration</t>
  </si>
  <si>
    <t>FND-025</t>
  </si>
  <si>
    <t>4 terminated contractors still have active system access</t>
  </si>
  <si>
    <t>Contractor offboarding tracked separately from employee offboarding</t>
  </si>
  <si>
    <t>FND-026</t>
  </si>
  <si>
    <t>Q2 reconciliations for 5 accounts not yet started</t>
  </si>
  <si>
    <t>Staff reallocation to financial close optimization project</t>
  </si>
  <si>
    <t>FND-027</t>
  </si>
  <si>
    <t>Journal entry approval threshold not updated after policy change</t>
  </si>
  <si>
    <t>Policy change communication did not include system configuration update</t>
  </si>
  <si>
    <t>FND-028</t>
  </si>
  <si>
    <t>Q2 regulatory report review evidence not retained</t>
  </si>
  <si>
    <t>Evidence storage process not followed by new team member</t>
  </si>
  <si>
    <t>FND-029</t>
  </si>
  <si>
    <t>MFA bypass permitted for 2 service accounts without documentation</t>
  </si>
  <si>
    <t>Exception process not formally documented or approved</t>
  </si>
  <si>
    <t>FND-030</t>
  </si>
  <si>
    <t>Emergency change deployed without post-implementation review</t>
  </si>
  <si>
    <t>Time pressure during cloud migration led to skipped review step</t>
  </si>
  <si>
    <t>FND-031</t>
  </si>
  <si>
    <t>May intercompany reconciliation items unresolved at close</t>
  </si>
  <si>
    <t>Counterparty entity did not provide supporting documentation</t>
  </si>
  <si>
    <t>FND-032</t>
  </si>
  <si>
    <t>Q1 Audit Committee report delivered 3 weeks late</t>
  </si>
  <si>
    <t>Report preparation process not started early enough</t>
  </si>
  <si>
    <t>FND-033</t>
  </si>
  <si>
    <t>Change advisory board quorum not met for 2 change approvals</t>
  </si>
  <si>
    <t>Board members not available during cloud migration sprint</t>
  </si>
  <si>
    <t>FND-034</t>
  </si>
  <si>
    <t>Variance investigation for Finance department not documented</t>
  </si>
  <si>
    <t>Responsible analyst unclear on documentation requirements</t>
  </si>
  <si>
    <t>FND-035</t>
  </si>
  <si>
    <t>Q2 vulnerability scan completed 15 days late</t>
  </si>
  <si>
    <t>Scanning tool license expired and renewal was delayed</t>
  </si>
  <si>
    <t>FND-036</t>
  </si>
  <si>
    <t>Quarterly vendor access review not documented for Q2</t>
  </si>
  <si>
    <t>New vendor manager unaware of review requirement</t>
  </si>
  <si>
    <t>FND-037</t>
  </si>
  <si>
    <t>Incident log shows 12 incidents with no resolution owner assigned</t>
  </si>
  <si>
    <t>Incident management tool does not enforce owner assignment</t>
  </si>
  <si>
    <t>FND-038</t>
  </si>
  <si>
    <t>Access log anomaly alerts not reviewed for 3 weeks</t>
  </si>
  <si>
    <t>Alert review responsibility not included in team runbook</t>
  </si>
  <si>
    <t>FND-039</t>
  </si>
  <si>
    <t>Unauthorized firewall rule detected during Q2 review</t>
  </si>
  <si>
    <t>Rule added during emergency maintenance without change ticket</t>
  </si>
  <si>
    <t>FND-040</t>
  </si>
  <si>
    <t>Management override log incomplete for Q2 period</t>
  </si>
  <si>
    <t>Override logging process bypassed during system downtime</t>
  </si>
  <si>
    <t>MilestoneID</t>
  </si>
  <si>
    <t>MilestoneName</t>
  </si>
  <si>
    <t>Phase</t>
  </si>
  <si>
    <t>PlannedDate</t>
  </si>
  <si>
    <t>ActualDate</t>
  </si>
  <si>
    <t>DelayDays</t>
  </si>
  <si>
    <t>MilestoneOwner</t>
  </si>
  <si>
    <t>IsCriticalPath</t>
  </si>
  <si>
    <t>MST-001</t>
  </si>
  <si>
    <t>Project Charter Approved</t>
  </si>
  <si>
    <t>Planning</t>
  </si>
  <si>
    <t>MST-002</t>
  </si>
  <si>
    <t>Requirements Gathering Complete</t>
  </si>
  <si>
    <t>MST-003</t>
  </si>
  <si>
    <t>Vendor Selection Finalized</t>
  </si>
  <si>
    <t>MST-004</t>
  </si>
  <si>
    <t>System Configuration Complete</t>
  </si>
  <si>
    <t>Execution</t>
  </si>
  <si>
    <t>MST-005</t>
  </si>
  <si>
    <t>User Acceptance Testing Complete</t>
  </si>
  <si>
    <t>Testing</t>
  </si>
  <si>
    <t>MST-006</t>
  </si>
  <si>
    <t>SOX Gap Assessment Complete</t>
  </si>
  <si>
    <t>MST-007</t>
  </si>
  <si>
    <t>Remediation Roadmap Approved</t>
  </si>
  <si>
    <t>MST-008</t>
  </si>
  <si>
    <t>Q1 Remediation Actions Complete</t>
  </si>
  <si>
    <t>MST-009</t>
  </si>
  <si>
    <t>Q2 Remediation Actions Complete</t>
  </si>
  <si>
    <t>MST-010</t>
  </si>
  <si>
    <t>Cloud Architecture Design Approved</t>
  </si>
  <si>
    <t>MST-011</t>
  </si>
  <si>
    <t>Development Environment Migrated</t>
  </si>
  <si>
    <t>MST-012</t>
  </si>
  <si>
    <t>Production Migration Phase 1</t>
  </si>
  <si>
    <t>MST-013</t>
  </si>
  <si>
    <t>Production Migration Phase 2</t>
  </si>
  <si>
    <t>Not Started</t>
  </si>
  <si>
    <t>MST-014</t>
  </si>
  <si>
    <t>Data Inventory Complete</t>
  </si>
  <si>
    <t>MST-015</t>
  </si>
  <si>
    <t>ETL Pipeline Development Complete</t>
  </si>
  <si>
    <t>MST-016</t>
  </si>
  <si>
    <t>Data Validation and Testing Complete</t>
  </si>
  <si>
    <t>MST-017</t>
  </si>
  <si>
    <t>Security Framework Assessment</t>
  </si>
  <si>
    <t>MST-018</t>
  </si>
  <si>
    <t>Critical Vulnerability Remediation</t>
  </si>
  <si>
    <t>MST-019</t>
  </si>
  <si>
    <t>Framework Documentation Complete</t>
  </si>
  <si>
    <t>MST-020</t>
  </si>
  <si>
    <t>Automation Requirements Defined</t>
  </si>
  <si>
    <t>MST-021</t>
  </si>
  <si>
    <t>Automation Tool Selected</t>
  </si>
  <si>
    <t>MST-022</t>
  </si>
  <si>
    <t>Phase 1 Automation Live</t>
  </si>
  <si>
    <t>MST-023</t>
  </si>
  <si>
    <t>Phase 2 Automation Live</t>
  </si>
  <si>
    <t>MST-024</t>
  </si>
  <si>
    <t>Identity Platform Selected</t>
  </si>
  <si>
    <t>MST-025</t>
  </si>
  <si>
    <t>Legacy System Decommission Plan</t>
  </si>
  <si>
    <t>MST-026</t>
  </si>
  <si>
    <t>DR Assessment Complete</t>
  </si>
  <si>
    <t>MST-027</t>
  </si>
  <si>
    <t>DR Plan Updated</t>
  </si>
  <si>
    <t>MST-028</t>
  </si>
  <si>
    <t>DR Test Scheduled</t>
  </si>
  <si>
    <t>MST-029</t>
  </si>
  <si>
    <t>Payroll Data Migration Plan</t>
  </si>
  <si>
    <t>MST-030</t>
  </si>
  <si>
    <t>Parallel Run Testing</t>
  </si>
  <si>
    <t>BudgetID</t>
  </si>
  <si>
    <t>Month</t>
  </si>
  <si>
    <t>PlannedSpend</t>
  </si>
  <si>
    <t>ActualSpend</t>
  </si>
  <si>
    <t>Variance</t>
  </si>
  <si>
    <t>VariancePercent</t>
  </si>
  <si>
    <t>Category</t>
  </si>
  <si>
    <t>ApprovedBy</t>
  </si>
  <si>
    <t>BGT-001</t>
  </si>
  <si>
    <t>Labour</t>
  </si>
  <si>
    <t>BGT-002</t>
  </si>
  <si>
    <t>BGT-003</t>
  </si>
  <si>
    <t>Technology</t>
  </si>
  <si>
    <t>BGT-004</t>
  </si>
  <si>
    <t>BGT-005</t>
  </si>
  <si>
    <t>External</t>
  </si>
  <si>
    <t>BGT-006</t>
  </si>
  <si>
    <t>BGT-007</t>
  </si>
  <si>
    <t>BGT-008</t>
  </si>
  <si>
    <t>BGT-009</t>
  </si>
  <si>
    <t>BGT-010</t>
  </si>
  <si>
    <t>BGT-011</t>
  </si>
  <si>
    <t>BGT-012</t>
  </si>
  <si>
    <t>BGT-013</t>
  </si>
  <si>
    <t>BGT-014</t>
  </si>
  <si>
    <t>BGT-015</t>
  </si>
  <si>
    <t>BGT-016</t>
  </si>
  <si>
    <t>BGT-017</t>
  </si>
  <si>
    <t>BGT-018</t>
  </si>
  <si>
    <t>BGT-019</t>
  </si>
  <si>
    <t>BGT-020</t>
  </si>
  <si>
    <t>BGT-021</t>
  </si>
  <si>
    <t>BGT-022</t>
  </si>
  <si>
    <t>BGT-023</t>
  </si>
  <si>
    <t>BGT-024</t>
  </si>
  <si>
    <t>BGT-025</t>
  </si>
  <si>
    <t>BGT-026</t>
  </si>
  <si>
    <t>BGT-027</t>
  </si>
  <si>
    <t>BGT-028</t>
  </si>
  <si>
    <t>BGT-029</t>
  </si>
  <si>
    <t>BGT-030</t>
  </si>
  <si>
    <t>Project name</t>
  </si>
  <si>
    <t>DaysOpen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</si>
</sst>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48"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F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A62DD6-274B-4423-8D5F-8275DC269192}" name="PROJECTS" displayName="PROJECTS" ref="A1:K31" totalsRowShown="0" headerRowDxfId="47" headerRowBorderDxfId="45" tableBorderDxfId="46" totalsRowBorderDxfId="44">
  <autoFilter ref="A1:K31" xr:uid="{DDAAB124-BBE7-4C55-AED0-D7D470FB37EE}"/>
  <tableColumns count="11">
    <tableColumn id="1" xr3:uid="{C4C66A74-739D-4AEF-8966-54F5D1B5B48F}" name="ProjectID" dataDxfId="43"/>
    <tableColumn id="2" xr3:uid="{E7B96B88-C7B7-4C4C-813F-CC94F65386EC}" name="ProjectName" dataDxfId="42"/>
    <tableColumn id="3" xr3:uid="{AEC49FE2-7718-4EDA-94F4-8636BFFE12D6}" name="Department" dataDxfId="41"/>
    <tableColumn id="4" xr3:uid="{4D757BD0-08F4-48D9-ACC8-654387BD5055}" name="ProjectManager" dataDxfId="40"/>
    <tableColumn id="5" xr3:uid="{1E214BC5-5F08-418E-B57C-DB9A74244138}" name="Priority" dataDxfId="39"/>
    <tableColumn id="6" xr3:uid="{15029B9C-0F82-415E-9778-24E152DEEED3}" name="Status" dataDxfId="38"/>
    <tableColumn id="7" xr3:uid="{8CF2B9C8-B4F5-403C-A659-6EFF1D6F19B9}" name="StartDate" dataDxfId="37"/>
    <tableColumn id="8" xr3:uid="{9DE4ED4E-1ABB-4449-85F4-9953EF0EBB68}" name="PlannedEndDate" dataDxfId="36"/>
    <tableColumn id="9" xr3:uid="{BD38EA4E-C108-4EB0-BFD7-C920E7D87832}" name="ActualEndDate" dataDxfId="35"/>
    <tableColumn id="10" xr3:uid="{F62AFA8A-8507-4C7E-817D-0506E0F34D0C}" name="ProjectBudget" dataDxfId="34"/>
    <tableColumn id="11" xr3:uid="{63106871-EC80-4826-A490-187E98CDFF68}" name="IsSOXRelevant" dataDxfId="3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A9C5E8-8BB6-4B87-82A3-7E60D5DB7A48}" name="CONTROLS" displayName="CONTROLS" ref="A1:L51" totalsRowShown="0">
  <autoFilter ref="A1:L51" xr:uid="{F8A9C5E8-8BB6-4B87-82A3-7E60D5DB7A48}"/>
  <tableColumns count="12">
    <tableColumn id="1" xr3:uid="{4F060DB4-4D5A-4526-8A68-442789E7A0F7}" name="ControlID"/>
    <tableColumn id="2" xr3:uid="{19B47323-FFA9-4F4E-9635-2A1ED8AECA7E}" name="ControlName"/>
    <tableColumn id="3" xr3:uid="{48602B2D-7A8D-4C2D-AD9B-B1C9B4D1E0B1}" name="ControlDescription"/>
    <tableColumn id="4" xr3:uid="{40E7085C-CB39-40B9-81B4-3E9926BE0183}" name="ControlType"/>
    <tableColumn id="5" xr3:uid="{904A1AD4-A5A2-4955-A31F-F64F64316E57}" name="RiskRating"/>
    <tableColumn id="6" xr3:uid="{4B2C9E44-B7E0-4097-AB36-AADB99D32998}" name="ControlOwner"/>
    <tableColumn id="7" xr3:uid="{D36771DD-243A-421F-9B1F-5BE3B20F8852}" name="Department"/>
    <tableColumn id="8" xr3:uid="{4FA83E7C-3BB5-4EDE-A52F-192DD882B33A}" name="TestingFrequency"/>
    <tableColumn id="9" xr3:uid="{1AD2DBD9-EEBB-4939-98CD-1E0AD0E46EB9}" name="ITGCCategory"/>
    <tableColumn id="10" xr3:uid="{0AC7D2AF-A380-46DD-9EE7-F904CA2C3848}" name="Status"/>
    <tableColumn id="11" xr3:uid="{E4C27B57-F3A9-4FD7-AE04-2D77004538D8}" name="LastTestedDate" dataDxfId="32"/>
    <tableColumn id="12" xr3:uid="{75BFCB3E-59F6-47E8-806A-0AB4308A6F88}" name="EvidenceStatu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785F60-35C3-4BC5-AF67-B1AF8B6E7A34}" name="AUDIT_FINDINGS" displayName="AUDIT_FINDINGS" ref="A1:M41" totalsRowShown="0">
  <autoFilter ref="A1:M41" xr:uid="{46785F60-35C3-4BC5-AF67-B1AF8B6E7A34}"/>
  <tableColumns count="13">
    <tableColumn id="1" xr3:uid="{EDF61FDA-2886-4875-BD5B-BAC64F9E3976}" name="FindingID"/>
    <tableColumn id="2" xr3:uid="{6ACCECD2-3486-4FC2-81C2-FF8B24776371}" name="ControlID"/>
    <tableColumn id="3" xr3:uid="{2F681967-711A-4E17-9350-5F184BD65A9B}" name="ProjectID"/>
    <tableColumn id="4" xr3:uid="{434C14B8-D4A6-4E55-8A6D-937E71767489}" name="FindingTitle"/>
    <tableColumn id="5" xr3:uid="{6B1AB37A-D3AF-47EB-B48E-6816E731F8F8}" name="Severity"/>
    <tableColumn id="6" xr3:uid="{154019ED-4089-45BD-9A7F-AC4DC1C0106F}" name="RootCause"/>
    <tableColumn id="7" xr3:uid="{3BD7FEA3-5028-4CD9-9EA9-AFF936BB411B}" name="FindingOwner"/>
    <tableColumn id="8" xr3:uid="{BDD47753-95F5-464E-97B3-BB8A887B6C2A}" name="DateIdentified" dataDxfId="31"/>
    <tableColumn id="13" xr3:uid="{5742EF80-A76D-459B-9660-FB27CC6EC3F3}" name="DaysOpen" dataDxfId="14">
      <calculatedColumnFormula>IF(AUDIT_FINDINGS[[#This Row],[RemediationStatus]]="Closed",AUDIT_FINDINGS[[#This Row],[DateClosed]]-AUDIT_FINDINGS[[#This Row],[DateIdentified]],TODAY()-AUDIT_FINDINGS[[#This Row],[DateIdentified]])</calculatedColumnFormula>
    </tableColumn>
    <tableColumn id="9" xr3:uid="{2CB3A2C7-04F0-4956-BA3E-53CE1FBA7CA4}" name="RemediationDeadline" dataDxfId="30"/>
    <tableColumn id="10" xr3:uid="{0F5D0F6F-73D9-4B3E-A171-17679EA8AB7A}" name="RemediationStatus"/>
    <tableColumn id="11" xr3:uid="{4ED6CF3E-EDCA-4CF8-9A6B-7B7FEE1C3CEC}" name="DateClosed"/>
    <tableColumn id="12" xr3:uid="{2AED91D4-B88E-40EC-AB67-7153095A1EE1}" name="AuditCycle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CA736D-8580-4BA0-889E-5CBC4C70E4FB}" name="MILESTONES" displayName="MILESTONES" ref="A1:J31" totalsRowShown="0">
  <autoFilter ref="A1:J31" xr:uid="{59CA736D-8580-4BA0-889E-5CBC4C70E4FB}"/>
  <tableColumns count="10">
    <tableColumn id="1" xr3:uid="{4AF52BDC-0167-4E61-8DED-E3E80386BF84}" name="MilestoneID"/>
    <tableColumn id="2" xr3:uid="{1739CC1E-4514-4666-A57C-F89664648457}" name="ProjectID"/>
    <tableColumn id="3" xr3:uid="{5260AADE-139B-46FC-91EC-174ABEE4A3C7}" name="MilestoneName"/>
    <tableColumn id="4" xr3:uid="{A12B4CE2-848F-4D72-88C8-DF4E2479A65D}" name="Phase"/>
    <tableColumn id="5" xr3:uid="{87D81FE8-4971-40CD-B646-69FA979784C0}" name="PlannedDate" dataDxfId="29"/>
    <tableColumn id="6" xr3:uid="{E73642A5-EF0E-4250-BCAF-934F146DDA07}" name="ActualDate"/>
    <tableColumn id="7" xr3:uid="{5839653E-B66C-42C2-8754-F0E2D559FE0E}" name="Status"/>
    <tableColumn id="8" xr3:uid="{3E1EF7A2-CB79-4618-80CB-6E61E3CDA505}" name="DelayDays"/>
    <tableColumn id="9" xr3:uid="{CCAC444E-08F3-4937-A695-069358211EE8}" name="MilestoneOwner"/>
    <tableColumn id="10" xr3:uid="{4A72D157-2CE2-4070-9E51-21744D8DE2D8}" name="IsCriticalPath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048AC9-C9F0-46F7-8866-AA8DC76C0E72}" name="BUDGET_TRACKING" displayName="BUDGET_TRACKING" ref="A1:J31" totalsRowShown="0" headerRowDxfId="28" headerRowBorderDxfId="26" tableBorderDxfId="27" totalsRowBorderDxfId="25">
  <autoFilter ref="A1:J31" xr:uid="{8E048AC9-C9F0-46F7-8866-AA8DC76C0E72}"/>
  <tableColumns count="10">
    <tableColumn id="1" xr3:uid="{F1ADFA26-E54E-4677-AABA-D2D7669B8EBA}" name="BudgetID" dataDxfId="24"/>
    <tableColumn id="2" xr3:uid="{65CB38EF-EF51-4FB3-A359-021A010C4CF7}" name="ProjectID" dataDxfId="23"/>
    <tableColumn id="10" xr3:uid="{4A21B037-4BA7-4BE4-9A4A-2338ACBFA891}" name="Project name" dataDxfId="22">
      <calculatedColumnFormula>_xlfn.XLOOKUP(BUDGET_TRACKING[[#This Row],[ProjectID]],PROJECTS!A:A,PROJECTS!B:B,"Not Found")</calculatedColumnFormula>
    </tableColumn>
    <tableColumn id="3" xr3:uid="{C6223CCA-FD38-4A4C-8B8C-4F0C30B8C8FC}" name="Month" dataDxfId="21"/>
    <tableColumn id="4" xr3:uid="{D3E562C0-8D00-47E9-B0B6-0AE151742459}" name="PlannedSpend" dataDxfId="20"/>
    <tableColumn id="5" xr3:uid="{BCADA671-9395-4872-880A-F3EC2D247EFE}" name="ActualSpend" dataDxfId="19"/>
    <tableColumn id="6" xr3:uid="{6623C3E6-C048-4FB4-A3B3-034BA031A5C8}" name="Variance" dataDxfId="18">
      <calculatedColumnFormula>BUDGET_TRACKING[[#This Row],[ActualSpend]]-BUDGET_TRACKING[[#This Row],[PlannedSpend]]</calculatedColumnFormula>
    </tableColumn>
    <tableColumn id="7" xr3:uid="{6ADAA481-6EC9-4828-A482-7A2BD7690779}" name="VariancePercent" dataDxfId="17">
      <calculatedColumnFormula>(BUDGET_TRACKING[[#This Row],[Variance]]/BUDGET_TRACKING[[#This Row],[PlannedSpend]])*100</calculatedColumnFormula>
    </tableColumn>
    <tableColumn id="8" xr3:uid="{6B430C2A-7A17-4C58-8C71-4639490D5434}" name="Category" dataDxfId="16"/>
    <tableColumn id="9" xr3:uid="{A666FD32-F10E-43B9-B7A8-BF11C8E273BB}" name="ApprovedBy" dataDxfId="1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AB124-BBE7-4C55-AED0-D7D470FB37EE}">
  <dimension ref="A1:K31"/>
  <sheetViews>
    <sheetView tabSelected="1" workbookViewId="0">
      <pane ySplit="1" topLeftCell="A2" activePane="bottomLeft" state="frozen"/>
      <selection pane="bottomLeft" sqref="A1:XFD1"/>
    </sheetView>
  </sheetViews>
  <sheetFormatPr baseColWidth="10" defaultRowHeight="14.4" x14ac:dyDescent="0.3"/>
  <cols>
    <col min="2" max="2" width="27.77734375" customWidth="1"/>
    <col min="3" max="3" width="12.88671875" customWidth="1"/>
    <col min="4" max="4" width="16" customWidth="1"/>
    <col min="8" max="8" width="16.6640625" customWidth="1"/>
    <col min="9" max="9" width="15.33203125" customWidth="1"/>
    <col min="10" max="10" width="14.6640625" customWidth="1"/>
    <col min="11" max="11" width="15.21875" customWidth="1"/>
  </cols>
  <sheetData>
    <row r="1" spans="1:1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62</v>
      </c>
    </row>
    <row r="2" spans="1:11" x14ac:dyDescent="0.3">
      <c r="A2" s="4" t="s">
        <v>63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>
        <v>45301</v>
      </c>
      <c r="H2" s="3">
        <v>45473</v>
      </c>
      <c r="I2" s="2" t="s">
        <v>15</v>
      </c>
      <c r="J2" s="2">
        <v>850000</v>
      </c>
      <c r="K2" s="5" t="s">
        <v>64</v>
      </c>
    </row>
    <row r="3" spans="1:11" x14ac:dyDescent="0.3">
      <c r="A3" s="4" t="s">
        <v>65</v>
      </c>
      <c r="B3" s="2" t="s">
        <v>16</v>
      </c>
      <c r="C3" s="2" t="s">
        <v>17</v>
      </c>
      <c r="D3" s="2" t="s">
        <v>18</v>
      </c>
      <c r="E3" s="2" t="s">
        <v>13</v>
      </c>
      <c r="F3" s="2" t="s">
        <v>19</v>
      </c>
      <c r="G3" s="3">
        <v>45323</v>
      </c>
      <c r="H3" s="3">
        <v>45657</v>
      </c>
      <c r="I3" s="2"/>
      <c r="J3" s="2">
        <v>320000</v>
      </c>
      <c r="K3" s="5" t="s">
        <v>64</v>
      </c>
    </row>
    <row r="4" spans="1:11" x14ac:dyDescent="0.3">
      <c r="A4" s="4" t="s">
        <v>66</v>
      </c>
      <c r="B4" s="2" t="s">
        <v>20</v>
      </c>
      <c r="C4" s="2" t="s">
        <v>21</v>
      </c>
      <c r="D4" s="2" t="s">
        <v>22</v>
      </c>
      <c r="E4" s="2" t="s">
        <v>13</v>
      </c>
      <c r="F4" s="2" t="s">
        <v>19</v>
      </c>
      <c r="G4" s="3">
        <v>45366</v>
      </c>
      <c r="H4" s="3">
        <v>45626</v>
      </c>
      <c r="I4" s="2"/>
      <c r="J4" s="2">
        <v>1200000</v>
      </c>
      <c r="K4" s="5" t="s">
        <v>64</v>
      </c>
    </row>
    <row r="5" spans="1:11" x14ac:dyDescent="0.3">
      <c r="A5" s="4" t="s">
        <v>67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19</v>
      </c>
      <c r="G5" s="3">
        <v>45383</v>
      </c>
      <c r="H5" s="3">
        <v>45596</v>
      </c>
      <c r="I5" s="2"/>
      <c r="J5" s="2">
        <v>450000</v>
      </c>
      <c r="K5" s="5" t="s">
        <v>61</v>
      </c>
    </row>
    <row r="6" spans="1:11" x14ac:dyDescent="0.3">
      <c r="A6" s="4" t="s">
        <v>68</v>
      </c>
      <c r="B6" s="2" t="s">
        <v>27</v>
      </c>
      <c r="C6" s="2" t="s">
        <v>21</v>
      </c>
      <c r="D6" s="2" t="s">
        <v>12</v>
      </c>
      <c r="E6" s="2" t="s">
        <v>13</v>
      </c>
      <c r="F6" s="2" t="s">
        <v>19</v>
      </c>
      <c r="G6" s="3">
        <v>45311</v>
      </c>
      <c r="H6" s="3">
        <v>45565</v>
      </c>
      <c r="I6" s="2"/>
      <c r="J6" s="2">
        <v>780000</v>
      </c>
      <c r="K6" s="5" t="s">
        <v>64</v>
      </c>
    </row>
    <row r="7" spans="1:11" x14ac:dyDescent="0.3">
      <c r="A7" s="4" t="s">
        <v>69</v>
      </c>
      <c r="B7" s="2" t="s">
        <v>28</v>
      </c>
      <c r="C7" s="2" t="s">
        <v>17</v>
      </c>
      <c r="D7" s="2" t="s">
        <v>18</v>
      </c>
      <c r="E7" s="2" t="s">
        <v>13</v>
      </c>
      <c r="F7" s="2" t="s">
        <v>14</v>
      </c>
      <c r="G7" s="3">
        <v>45296</v>
      </c>
      <c r="H7" s="3">
        <v>45412</v>
      </c>
      <c r="I7" s="3">
        <v>45424</v>
      </c>
      <c r="J7" s="2">
        <v>230000</v>
      </c>
      <c r="K7" s="5" t="s">
        <v>64</v>
      </c>
    </row>
    <row r="8" spans="1:11" x14ac:dyDescent="0.3">
      <c r="A8" s="4" t="s">
        <v>70</v>
      </c>
      <c r="B8" s="2" t="s">
        <v>29</v>
      </c>
      <c r="C8" s="2" t="s">
        <v>30</v>
      </c>
      <c r="D8" s="2" t="s">
        <v>31</v>
      </c>
      <c r="E8" s="2" t="s">
        <v>26</v>
      </c>
      <c r="F8" s="2" t="s">
        <v>19</v>
      </c>
      <c r="G8" s="3">
        <v>45413</v>
      </c>
      <c r="H8" s="3">
        <v>45657</v>
      </c>
      <c r="I8" s="2"/>
      <c r="J8" s="2">
        <v>560000</v>
      </c>
      <c r="K8" s="5" t="s">
        <v>61</v>
      </c>
    </row>
    <row r="9" spans="1:11" x14ac:dyDescent="0.3">
      <c r="A9" s="4" t="s">
        <v>71</v>
      </c>
      <c r="B9" s="2" t="s">
        <v>32</v>
      </c>
      <c r="C9" s="2" t="s">
        <v>21</v>
      </c>
      <c r="D9" s="2" t="s">
        <v>22</v>
      </c>
      <c r="E9" s="2" t="s">
        <v>13</v>
      </c>
      <c r="F9" s="2" t="s">
        <v>19</v>
      </c>
      <c r="G9" s="3">
        <v>45337</v>
      </c>
      <c r="H9" s="3">
        <v>45535</v>
      </c>
      <c r="I9" s="2"/>
      <c r="J9" s="2">
        <v>390000</v>
      </c>
      <c r="K9" s="5" t="s">
        <v>64</v>
      </c>
    </row>
    <row r="10" spans="1:11" x14ac:dyDescent="0.3">
      <c r="A10" s="4" t="s">
        <v>72</v>
      </c>
      <c r="B10" s="2" t="s">
        <v>33</v>
      </c>
      <c r="C10" s="2" t="s">
        <v>11</v>
      </c>
      <c r="D10" s="2" t="s">
        <v>25</v>
      </c>
      <c r="E10" s="2" t="s">
        <v>13</v>
      </c>
      <c r="F10" s="2" t="s">
        <v>34</v>
      </c>
      <c r="G10" s="3">
        <v>45352</v>
      </c>
      <c r="H10" s="3">
        <v>45504</v>
      </c>
      <c r="I10" s="2"/>
      <c r="J10" s="2">
        <v>670000</v>
      </c>
      <c r="K10" s="5" t="s">
        <v>64</v>
      </c>
    </row>
    <row r="11" spans="1:11" x14ac:dyDescent="0.3">
      <c r="A11" s="4" t="s">
        <v>73</v>
      </c>
      <c r="B11" s="2" t="s">
        <v>35</v>
      </c>
      <c r="C11" s="2" t="s">
        <v>36</v>
      </c>
      <c r="D11" s="2" t="s">
        <v>37</v>
      </c>
      <c r="E11" s="2" t="s">
        <v>26</v>
      </c>
      <c r="F11" s="2" t="s">
        <v>19</v>
      </c>
      <c r="G11" s="3">
        <v>45397</v>
      </c>
      <c r="H11" s="3">
        <v>45626</v>
      </c>
      <c r="I11" s="2"/>
      <c r="J11" s="2">
        <v>310000</v>
      </c>
      <c r="K11" s="5" t="s">
        <v>61</v>
      </c>
    </row>
    <row r="12" spans="1:11" x14ac:dyDescent="0.3">
      <c r="A12" s="4" t="s">
        <v>74</v>
      </c>
      <c r="B12" s="2" t="s">
        <v>38</v>
      </c>
      <c r="C12" s="2" t="s">
        <v>39</v>
      </c>
      <c r="D12" s="2" t="s">
        <v>31</v>
      </c>
      <c r="E12" s="2" t="s">
        <v>13</v>
      </c>
      <c r="F12" s="2" t="s">
        <v>19</v>
      </c>
      <c r="G12" s="3">
        <v>45306</v>
      </c>
      <c r="H12" s="3">
        <v>45473</v>
      </c>
      <c r="I12" s="2"/>
      <c r="J12" s="2">
        <v>180000</v>
      </c>
      <c r="K12" s="5" t="s">
        <v>64</v>
      </c>
    </row>
    <row r="13" spans="1:11" x14ac:dyDescent="0.3">
      <c r="A13" s="4" t="s">
        <v>75</v>
      </c>
      <c r="B13" s="2" t="s">
        <v>40</v>
      </c>
      <c r="C13" s="2" t="s">
        <v>21</v>
      </c>
      <c r="D13" s="2" t="s">
        <v>22</v>
      </c>
      <c r="E13" s="2" t="s">
        <v>13</v>
      </c>
      <c r="F13" s="2" t="s">
        <v>14</v>
      </c>
      <c r="G13" s="3">
        <v>45323</v>
      </c>
      <c r="H13" s="3">
        <v>45443</v>
      </c>
      <c r="I13" s="3">
        <v>45458</v>
      </c>
      <c r="J13" s="2">
        <v>140000</v>
      </c>
      <c r="K13" s="5" t="s">
        <v>64</v>
      </c>
    </row>
    <row r="14" spans="1:11" x14ac:dyDescent="0.3">
      <c r="A14" s="4" t="s">
        <v>76</v>
      </c>
      <c r="B14" s="2" t="s">
        <v>41</v>
      </c>
      <c r="C14" s="2" t="s">
        <v>17</v>
      </c>
      <c r="D14" s="2" t="s">
        <v>18</v>
      </c>
      <c r="E14" s="2" t="s">
        <v>13</v>
      </c>
      <c r="F14" s="2" t="s">
        <v>19</v>
      </c>
      <c r="G14" s="3">
        <v>45413</v>
      </c>
      <c r="H14" s="3">
        <v>45657</v>
      </c>
      <c r="I14" s="2"/>
      <c r="J14" s="2">
        <v>520000</v>
      </c>
      <c r="K14" s="5" t="s">
        <v>64</v>
      </c>
    </row>
    <row r="15" spans="1:11" x14ac:dyDescent="0.3">
      <c r="A15" s="4" t="s">
        <v>77</v>
      </c>
      <c r="B15" s="2" t="s">
        <v>42</v>
      </c>
      <c r="C15" s="2" t="s">
        <v>11</v>
      </c>
      <c r="D15" s="2" t="s">
        <v>12</v>
      </c>
      <c r="E15" s="2" t="s">
        <v>26</v>
      </c>
      <c r="F15" s="2" t="s">
        <v>43</v>
      </c>
      <c r="G15" s="3">
        <v>45352</v>
      </c>
      <c r="H15" s="3">
        <v>45565</v>
      </c>
      <c r="I15" s="2"/>
      <c r="J15" s="2">
        <v>290000</v>
      </c>
      <c r="K15" s="5" t="s">
        <v>64</v>
      </c>
    </row>
    <row r="16" spans="1:11" x14ac:dyDescent="0.3">
      <c r="A16" s="4" t="s">
        <v>78</v>
      </c>
      <c r="B16" s="2" t="s">
        <v>44</v>
      </c>
      <c r="C16" s="2" t="s">
        <v>30</v>
      </c>
      <c r="D16" s="2" t="s">
        <v>37</v>
      </c>
      <c r="E16" s="2" t="s">
        <v>26</v>
      </c>
      <c r="F16" s="2" t="s">
        <v>19</v>
      </c>
      <c r="G16" s="3">
        <v>45383</v>
      </c>
      <c r="H16" s="3">
        <v>45596</v>
      </c>
      <c r="I16" s="2"/>
      <c r="J16" s="2">
        <v>410000</v>
      </c>
      <c r="K16" s="5" t="s">
        <v>61</v>
      </c>
    </row>
    <row r="17" spans="1:11" x14ac:dyDescent="0.3">
      <c r="A17" s="4" t="s">
        <v>79</v>
      </c>
      <c r="B17" s="2" t="s">
        <v>45</v>
      </c>
      <c r="C17" s="2" t="s">
        <v>21</v>
      </c>
      <c r="D17" s="2" t="s">
        <v>22</v>
      </c>
      <c r="E17" s="2" t="s">
        <v>13</v>
      </c>
      <c r="F17" s="2" t="s">
        <v>19</v>
      </c>
      <c r="G17" s="3">
        <v>45444</v>
      </c>
      <c r="H17" s="3">
        <v>45688</v>
      </c>
      <c r="I17" s="2"/>
      <c r="J17" s="2">
        <v>680000</v>
      </c>
      <c r="K17" s="5" t="s">
        <v>64</v>
      </c>
    </row>
    <row r="18" spans="1:11" x14ac:dyDescent="0.3">
      <c r="A18" s="4" t="s">
        <v>80</v>
      </c>
      <c r="B18" s="2" t="s">
        <v>46</v>
      </c>
      <c r="C18" s="2" t="s">
        <v>17</v>
      </c>
      <c r="D18" s="2" t="s">
        <v>31</v>
      </c>
      <c r="E18" s="2" t="s">
        <v>26</v>
      </c>
      <c r="F18" s="2" t="s">
        <v>14</v>
      </c>
      <c r="G18" s="3">
        <v>45301</v>
      </c>
      <c r="H18" s="3">
        <v>45382</v>
      </c>
      <c r="I18" s="3">
        <v>45379</v>
      </c>
      <c r="J18" s="2">
        <v>85000</v>
      </c>
      <c r="K18" s="5" t="s">
        <v>64</v>
      </c>
    </row>
    <row r="19" spans="1:11" x14ac:dyDescent="0.3">
      <c r="A19" s="4" t="s">
        <v>81</v>
      </c>
      <c r="B19" s="2" t="s">
        <v>47</v>
      </c>
      <c r="C19" s="2" t="s">
        <v>11</v>
      </c>
      <c r="D19" s="2" t="s">
        <v>12</v>
      </c>
      <c r="E19" s="2" t="s">
        <v>13</v>
      </c>
      <c r="F19" s="2" t="s">
        <v>19</v>
      </c>
      <c r="G19" s="3">
        <v>45427</v>
      </c>
      <c r="H19" s="3">
        <v>45626</v>
      </c>
      <c r="I19" s="2"/>
      <c r="J19" s="2">
        <v>430000</v>
      </c>
      <c r="K19" s="5" t="s">
        <v>64</v>
      </c>
    </row>
    <row r="20" spans="1:11" x14ac:dyDescent="0.3">
      <c r="A20" s="4" t="s">
        <v>82</v>
      </c>
      <c r="B20" s="2" t="s">
        <v>48</v>
      </c>
      <c r="C20" s="2" t="s">
        <v>36</v>
      </c>
      <c r="D20" s="2" t="s">
        <v>37</v>
      </c>
      <c r="E20" s="2" t="s">
        <v>26</v>
      </c>
      <c r="F20" s="2" t="s">
        <v>19</v>
      </c>
      <c r="G20" s="3">
        <v>45444</v>
      </c>
      <c r="H20" s="3">
        <v>45657</v>
      </c>
      <c r="I20" s="2"/>
      <c r="J20" s="2">
        <v>195000</v>
      </c>
      <c r="K20" s="5" t="s">
        <v>64</v>
      </c>
    </row>
    <row r="21" spans="1:11" x14ac:dyDescent="0.3">
      <c r="A21" s="4" t="s">
        <v>83</v>
      </c>
      <c r="B21" s="2" t="s">
        <v>49</v>
      </c>
      <c r="C21" s="2" t="s">
        <v>21</v>
      </c>
      <c r="D21" s="2" t="s">
        <v>22</v>
      </c>
      <c r="E21" s="2" t="s">
        <v>13</v>
      </c>
      <c r="F21" s="2" t="s">
        <v>34</v>
      </c>
      <c r="G21" s="3">
        <v>45323</v>
      </c>
      <c r="H21" s="3">
        <v>45504</v>
      </c>
      <c r="I21" s="2"/>
      <c r="J21" s="2">
        <v>360000</v>
      </c>
      <c r="K21" s="5" t="s">
        <v>64</v>
      </c>
    </row>
    <row r="22" spans="1:11" x14ac:dyDescent="0.3">
      <c r="A22" s="4" t="s">
        <v>84</v>
      </c>
      <c r="B22" s="2" t="s">
        <v>50</v>
      </c>
      <c r="C22" s="2" t="s">
        <v>17</v>
      </c>
      <c r="D22" s="2" t="s">
        <v>18</v>
      </c>
      <c r="E22" s="2" t="s">
        <v>13</v>
      </c>
      <c r="F22" s="2" t="s">
        <v>19</v>
      </c>
      <c r="G22" s="3">
        <v>45352</v>
      </c>
      <c r="H22" s="3">
        <v>45565</v>
      </c>
      <c r="I22" s="2"/>
      <c r="J22" s="2">
        <v>215000</v>
      </c>
      <c r="K22" s="5" t="s">
        <v>64</v>
      </c>
    </row>
    <row r="23" spans="1:11" x14ac:dyDescent="0.3">
      <c r="A23" s="4" t="s">
        <v>85</v>
      </c>
      <c r="B23" s="2" t="s">
        <v>51</v>
      </c>
      <c r="C23" s="2" t="s">
        <v>24</v>
      </c>
      <c r="D23" s="2" t="s">
        <v>25</v>
      </c>
      <c r="E23" s="2" t="s">
        <v>26</v>
      </c>
      <c r="F23" s="2" t="s">
        <v>19</v>
      </c>
      <c r="G23" s="3">
        <v>45413</v>
      </c>
      <c r="H23" s="3">
        <v>45626</v>
      </c>
      <c r="I23" s="2"/>
      <c r="J23" s="2">
        <v>375000</v>
      </c>
      <c r="K23" s="5" t="s">
        <v>64</v>
      </c>
    </row>
    <row r="24" spans="1:11" x14ac:dyDescent="0.3">
      <c r="A24" s="4" t="s">
        <v>86</v>
      </c>
      <c r="B24" s="2" t="s">
        <v>52</v>
      </c>
      <c r="C24" s="2" t="s">
        <v>21</v>
      </c>
      <c r="D24" s="2" t="s">
        <v>31</v>
      </c>
      <c r="E24" s="2" t="s">
        <v>13</v>
      </c>
      <c r="F24" s="2" t="s">
        <v>19</v>
      </c>
      <c r="G24" s="3">
        <v>45397</v>
      </c>
      <c r="H24" s="3">
        <v>45596</v>
      </c>
      <c r="I24" s="2"/>
      <c r="J24" s="2">
        <v>490000</v>
      </c>
      <c r="K24" s="5" t="s">
        <v>61</v>
      </c>
    </row>
    <row r="25" spans="1:11" x14ac:dyDescent="0.3">
      <c r="A25" s="4" t="s">
        <v>87</v>
      </c>
      <c r="B25" s="2" t="s">
        <v>53</v>
      </c>
      <c r="C25" s="2" t="s">
        <v>11</v>
      </c>
      <c r="D25" s="2" t="s">
        <v>12</v>
      </c>
      <c r="E25" s="2" t="s">
        <v>26</v>
      </c>
      <c r="F25" s="2" t="s">
        <v>14</v>
      </c>
      <c r="G25" s="3">
        <v>45306</v>
      </c>
      <c r="H25" s="3">
        <v>45443</v>
      </c>
      <c r="I25" s="3">
        <v>45432</v>
      </c>
      <c r="J25" s="2">
        <v>165000</v>
      </c>
      <c r="K25" s="5" t="s">
        <v>64</v>
      </c>
    </row>
    <row r="26" spans="1:11" x14ac:dyDescent="0.3">
      <c r="A26" s="4" t="s">
        <v>88</v>
      </c>
      <c r="B26" s="2" t="s">
        <v>54</v>
      </c>
      <c r="C26" s="2" t="s">
        <v>55</v>
      </c>
      <c r="D26" s="2" t="s">
        <v>18</v>
      </c>
      <c r="E26" s="2" t="s">
        <v>26</v>
      </c>
      <c r="F26" s="2" t="s">
        <v>19</v>
      </c>
      <c r="G26" s="3">
        <v>45444</v>
      </c>
      <c r="H26" s="3">
        <v>45657</v>
      </c>
      <c r="I26" s="2"/>
      <c r="J26" s="2">
        <v>145000</v>
      </c>
      <c r="K26" s="5" t="s">
        <v>61</v>
      </c>
    </row>
    <row r="27" spans="1:11" x14ac:dyDescent="0.3">
      <c r="A27" s="4" t="s">
        <v>89</v>
      </c>
      <c r="B27" s="2" t="s">
        <v>56</v>
      </c>
      <c r="C27" s="2" t="s">
        <v>17</v>
      </c>
      <c r="D27" s="2" t="s">
        <v>31</v>
      </c>
      <c r="E27" s="2" t="s">
        <v>13</v>
      </c>
      <c r="F27" s="2" t="s">
        <v>19</v>
      </c>
      <c r="G27" s="3">
        <v>45366</v>
      </c>
      <c r="H27" s="3">
        <v>45565</v>
      </c>
      <c r="I27" s="2"/>
      <c r="J27" s="2">
        <v>275000</v>
      </c>
      <c r="K27" s="5" t="s">
        <v>64</v>
      </c>
    </row>
    <row r="28" spans="1:11" x14ac:dyDescent="0.3">
      <c r="A28" s="4" t="s">
        <v>90</v>
      </c>
      <c r="B28" s="2" t="s">
        <v>57</v>
      </c>
      <c r="C28" s="2" t="s">
        <v>11</v>
      </c>
      <c r="D28" s="2" t="s">
        <v>25</v>
      </c>
      <c r="E28" s="2" t="s">
        <v>13</v>
      </c>
      <c r="F28" s="2" t="s">
        <v>19</v>
      </c>
      <c r="G28" s="3">
        <v>45413</v>
      </c>
      <c r="H28" s="3">
        <v>45657</v>
      </c>
      <c r="I28" s="2"/>
      <c r="J28" s="2">
        <v>340000</v>
      </c>
      <c r="K28" s="5" t="s">
        <v>64</v>
      </c>
    </row>
    <row r="29" spans="1:11" x14ac:dyDescent="0.3">
      <c r="A29" s="4" t="s">
        <v>91</v>
      </c>
      <c r="B29" s="2" t="s">
        <v>58</v>
      </c>
      <c r="C29" s="2" t="s">
        <v>21</v>
      </c>
      <c r="D29" s="2" t="s">
        <v>22</v>
      </c>
      <c r="E29" s="2" t="s">
        <v>13</v>
      </c>
      <c r="F29" s="2" t="s">
        <v>14</v>
      </c>
      <c r="G29" s="3">
        <v>45311</v>
      </c>
      <c r="H29" s="3">
        <v>45412</v>
      </c>
      <c r="I29" s="3">
        <v>45407</v>
      </c>
      <c r="J29" s="2">
        <v>220000</v>
      </c>
      <c r="K29" s="5" t="s">
        <v>64</v>
      </c>
    </row>
    <row r="30" spans="1:11" x14ac:dyDescent="0.3">
      <c r="A30" s="4" t="s">
        <v>92</v>
      </c>
      <c r="B30" s="2" t="s">
        <v>59</v>
      </c>
      <c r="C30" s="2" t="s">
        <v>39</v>
      </c>
      <c r="D30" s="2" t="s">
        <v>37</v>
      </c>
      <c r="E30" s="2" t="s">
        <v>13</v>
      </c>
      <c r="F30" s="2" t="s">
        <v>19</v>
      </c>
      <c r="G30" s="3">
        <v>45383</v>
      </c>
      <c r="H30" s="3">
        <v>45596</v>
      </c>
      <c r="I30" s="2"/>
      <c r="J30" s="2">
        <v>285000</v>
      </c>
      <c r="K30" s="5" t="s">
        <v>64</v>
      </c>
    </row>
    <row r="31" spans="1:11" x14ac:dyDescent="0.3">
      <c r="A31" s="6" t="s">
        <v>93</v>
      </c>
      <c r="B31" s="7" t="s">
        <v>60</v>
      </c>
      <c r="C31" s="7" t="s">
        <v>55</v>
      </c>
      <c r="D31" s="7" t="s">
        <v>12</v>
      </c>
      <c r="E31" s="7" t="s">
        <v>13</v>
      </c>
      <c r="F31" s="7" t="s">
        <v>19</v>
      </c>
      <c r="G31" s="8">
        <v>45444</v>
      </c>
      <c r="H31" s="8">
        <v>45657</v>
      </c>
      <c r="I31" s="7"/>
      <c r="J31" s="7">
        <v>195000</v>
      </c>
      <c r="K31" s="9" t="s">
        <v>61</v>
      </c>
    </row>
  </sheetData>
  <dataValidations count="3">
    <dataValidation type="list" allowBlank="1" showInputMessage="1" showErrorMessage="1" sqref="F1:F1048576" xr:uid="{2AB74C6A-7A56-44AB-AE8D-F33F2EFDDABB}">
      <formula1>"Active,Completed,On Hold,Delayed,Cancelled"</formula1>
    </dataValidation>
    <dataValidation type="list" allowBlank="1" showInputMessage="1" showErrorMessage="1" sqref="E1:E1048576" xr:uid="{9A72A772-08F3-4620-BBFC-87C3F9018DA4}">
      <formula1>"High, Medium, Low"</formula1>
    </dataValidation>
    <dataValidation type="list" allowBlank="1" showInputMessage="1" showErrorMessage="1" sqref="K1:K1048576" xr:uid="{F657452F-476D-4C23-8D82-706BEE5ED30E}">
      <formula1>"Yes, No"</formula1>
    </dataValidation>
  </dataValidations>
  <pageMargins left="0.7" right="0.7" top="0.75" bottom="0.75" header="0.3" footer="0.3"/>
  <headerFooter>
    <oddFooter>&amp;L_x000D_&amp;1#&amp;"Aptos"&amp;10&amp;K000000 Sensitivity: C1-Internal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BD4C-92C8-4F7B-9D73-113E60F189DD}">
  <dimension ref="A1:L51"/>
  <sheetViews>
    <sheetView workbookViewId="0">
      <pane ySplit="1" topLeftCell="A2" activePane="bottomLeft" state="frozen"/>
      <selection pane="bottomLeft" sqref="A1:XFD1"/>
    </sheetView>
  </sheetViews>
  <sheetFormatPr baseColWidth="10" defaultRowHeight="14.4" x14ac:dyDescent="0.3"/>
  <cols>
    <col min="2" max="2" width="28.77734375" customWidth="1"/>
    <col min="3" max="3" width="20.109375" customWidth="1"/>
    <col min="4" max="4" width="12.88671875" customWidth="1"/>
    <col min="5" max="5" width="11.6640625" customWidth="1"/>
    <col min="6" max="6" width="14.33203125" customWidth="1"/>
    <col min="7" max="7" width="12.88671875" customWidth="1"/>
    <col min="8" max="8" width="17.44140625" customWidth="1"/>
    <col min="9" max="9" width="14.21875" customWidth="1"/>
    <col min="11" max="12" width="15.77734375" customWidth="1"/>
  </cols>
  <sheetData>
    <row r="1" spans="1:12" x14ac:dyDescent="0.3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2</v>
      </c>
      <c r="H1" t="s">
        <v>100</v>
      </c>
      <c r="I1" t="s">
        <v>101</v>
      </c>
      <c r="J1" t="s">
        <v>5</v>
      </c>
      <c r="K1" t="s">
        <v>102</v>
      </c>
      <c r="L1" t="s">
        <v>103</v>
      </c>
    </row>
    <row r="2" spans="1:12" x14ac:dyDescent="0.3">
      <c r="A2" t="s">
        <v>104</v>
      </c>
      <c r="B2" t="s">
        <v>105</v>
      </c>
      <c r="C2" t="s">
        <v>106</v>
      </c>
      <c r="D2" t="s">
        <v>107</v>
      </c>
      <c r="E2" t="s">
        <v>13</v>
      </c>
      <c r="F2" t="s">
        <v>22</v>
      </c>
      <c r="G2" t="s">
        <v>21</v>
      </c>
      <c r="H2" t="s">
        <v>108</v>
      </c>
      <c r="I2" t="s">
        <v>109</v>
      </c>
      <c r="J2" t="s">
        <v>19</v>
      </c>
      <c r="K2" s="1">
        <v>45473</v>
      </c>
      <c r="L2" t="s">
        <v>110</v>
      </c>
    </row>
    <row r="3" spans="1:12" x14ac:dyDescent="0.3">
      <c r="A3" t="s">
        <v>111</v>
      </c>
      <c r="B3" t="s">
        <v>112</v>
      </c>
      <c r="C3" t="s">
        <v>113</v>
      </c>
      <c r="D3" t="s">
        <v>107</v>
      </c>
      <c r="E3" t="s">
        <v>114</v>
      </c>
      <c r="F3" t="s">
        <v>22</v>
      </c>
      <c r="G3" t="s">
        <v>21</v>
      </c>
      <c r="H3" t="s">
        <v>108</v>
      </c>
      <c r="I3" t="s">
        <v>109</v>
      </c>
      <c r="J3" t="s">
        <v>19</v>
      </c>
      <c r="K3" s="1">
        <v>45473</v>
      </c>
      <c r="L3" t="s">
        <v>110</v>
      </c>
    </row>
    <row r="4" spans="1:12" x14ac:dyDescent="0.3">
      <c r="A4" t="s">
        <v>115</v>
      </c>
      <c r="B4" t="s">
        <v>116</v>
      </c>
      <c r="C4" t="s">
        <v>117</v>
      </c>
      <c r="D4" t="s">
        <v>118</v>
      </c>
      <c r="E4" t="s">
        <v>114</v>
      </c>
      <c r="F4" t="s">
        <v>12</v>
      </c>
      <c r="G4" t="s">
        <v>11</v>
      </c>
      <c r="H4" t="s">
        <v>108</v>
      </c>
      <c r="I4" t="s">
        <v>109</v>
      </c>
      <c r="J4" t="s">
        <v>19</v>
      </c>
      <c r="K4" s="1">
        <v>45473</v>
      </c>
      <c r="L4" t="s">
        <v>119</v>
      </c>
    </row>
    <row r="5" spans="1:12" x14ac:dyDescent="0.3">
      <c r="A5" t="s">
        <v>120</v>
      </c>
      <c r="B5" t="s">
        <v>121</v>
      </c>
      <c r="C5" t="s">
        <v>122</v>
      </c>
      <c r="D5" t="s">
        <v>118</v>
      </c>
      <c r="E5" t="s">
        <v>13</v>
      </c>
      <c r="F5" t="s">
        <v>22</v>
      </c>
      <c r="G5" t="s">
        <v>21</v>
      </c>
      <c r="H5" t="s">
        <v>108</v>
      </c>
      <c r="I5" t="s">
        <v>109</v>
      </c>
      <c r="J5" t="s">
        <v>19</v>
      </c>
      <c r="K5" s="1">
        <v>45473</v>
      </c>
      <c r="L5" t="s">
        <v>110</v>
      </c>
    </row>
    <row r="6" spans="1:12" x14ac:dyDescent="0.3">
      <c r="A6" t="s">
        <v>123</v>
      </c>
      <c r="B6" t="s">
        <v>124</v>
      </c>
      <c r="C6" t="s">
        <v>125</v>
      </c>
      <c r="D6" t="s">
        <v>118</v>
      </c>
      <c r="E6" t="s">
        <v>114</v>
      </c>
      <c r="F6" t="s">
        <v>22</v>
      </c>
      <c r="G6" t="s">
        <v>21</v>
      </c>
      <c r="H6" t="s">
        <v>108</v>
      </c>
      <c r="I6" t="s">
        <v>109</v>
      </c>
      <c r="J6" t="s">
        <v>19</v>
      </c>
      <c r="K6" s="1">
        <v>45473</v>
      </c>
      <c r="L6" t="s">
        <v>126</v>
      </c>
    </row>
    <row r="7" spans="1:12" x14ac:dyDescent="0.3">
      <c r="A7" t="s">
        <v>127</v>
      </c>
      <c r="B7" t="s">
        <v>128</v>
      </c>
      <c r="C7" t="s">
        <v>129</v>
      </c>
      <c r="D7" t="s">
        <v>118</v>
      </c>
      <c r="E7" t="s">
        <v>13</v>
      </c>
      <c r="F7" t="s">
        <v>18</v>
      </c>
      <c r="G7" t="s">
        <v>17</v>
      </c>
      <c r="H7" t="s">
        <v>108</v>
      </c>
      <c r="I7" t="s">
        <v>130</v>
      </c>
      <c r="J7" t="s">
        <v>19</v>
      </c>
      <c r="K7" s="1">
        <v>45382</v>
      </c>
      <c r="L7" t="s">
        <v>110</v>
      </c>
    </row>
    <row r="8" spans="1:12" x14ac:dyDescent="0.3">
      <c r="A8" t="s">
        <v>131</v>
      </c>
      <c r="B8" t="s">
        <v>132</v>
      </c>
      <c r="C8" t="s">
        <v>133</v>
      </c>
      <c r="D8" t="s">
        <v>118</v>
      </c>
      <c r="E8" t="s">
        <v>13</v>
      </c>
      <c r="F8" t="s">
        <v>22</v>
      </c>
      <c r="G8" t="s">
        <v>21</v>
      </c>
      <c r="H8" t="s">
        <v>134</v>
      </c>
      <c r="I8" t="s">
        <v>130</v>
      </c>
      <c r="J8" t="s">
        <v>19</v>
      </c>
      <c r="K8" s="1">
        <v>45473</v>
      </c>
      <c r="L8" t="s">
        <v>110</v>
      </c>
    </row>
    <row r="9" spans="1:12" x14ac:dyDescent="0.3">
      <c r="A9" t="s">
        <v>135</v>
      </c>
      <c r="B9" t="s">
        <v>136</v>
      </c>
      <c r="C9" t="s">
        <v>137</v>
      </c>
      <c r="D9" t="s">
        <v>118</v>
      </c>
      <c r="E9" t="s">
        <v>13</v>
      </c>
      <c r="F9" t="s">
        <v>22</v>
      </c>
      <c r="G9" t="s">
        <v>21</v>
      </c>
      <c r="H9" t="s">
        <v>108</v>
      </c>
      <c r="I9" t="s">
        <v>130</v>
      </c>
      <c r="J9" t="s">
        <v>19</v>
      </c>
      <c r="K9" s="1">
        <v>45473</v>
      </c>
      <c r="L9" t="s">
        <v>119</v>
      </c>
    </row>
    <row r="10" spans="1:12" x14ac:dyDescent="0.3">
      <c r="A10" t="s">
        <v>138</v>
      </c>
      <c r="B10" t="s">
        <v>139</v>
      </c>
      <c r="C10" t="s">
        <v>140</v>
      </c>
      <c r="D10" t="s">
        <v>118</v>
      </c>
      <c r="E10" t="s">
        <v>26</v>
      </c>
      <c r="F10" t="s">
        <v>22</v>
      </c>
      <c r="G10" t="s">
        <v>21</v>
      </c>
      <c r="H10" t="s">
        <v>134</v>
      </c>
      <c r="I10" t="s">
        <v>130</v>
      </c>
      <c r="J10" t="s">
        <v>19</v>
      </c>
      <c r="K10" s="1">
        <v>45473</v>
      </c>
      <c r="L10" t="s">
        <v>110</v>
      </c>
    </row>
    <row r="11" spans="1:12" x14ac:dyDescent="0.3">
      <c r="A11" t="s">
        <v>141</v>
      </c>
      <c r="B11" t="s">
        <v>142</v>
      </c>
      <c r="C11" t="s">
        <v>143</v>
      </c>
      <c r="D11" t="s">
        <v>118</v>
      </c>
      <c r="E11" t="s">
        <v>13</v>
      </c>
      <c r="F11" t="s">
        <v>22</v>
      </c>
      <c r="G11" t="s">
        <v>21</v>
      </c>
      <c r="H11" t="s">
        <v>108</v>
      </c>
      <c r="I11" t="s">
        <v>30</v>
      </c>
      <c r="J11" t="s">
        <v>19</v>
      </c>
      <c r="K11" s="1">
        <v>45473</v>
      </c>
      <c r="L11" t="s">
        <v>110</v>
      </c>
    </row>
    <row r="12" spans="1:12" x14ac:dyDescent="0.3">
      <c r="A12" t="s">
        <v>144</v>
      </c>
      <c r="B12" t="s">
        <v>145</v>
      </c>
      <c r="C12" t="s">
        <v>146</v>
      </c>
      <c r="D12" t="s">
        <v>107</v>
      </c>
      <c r="E12" t="s">
        <v>13</v>
      </c>
      <c r="F12" t="s">
        <v>22</v>
      </c>
      <c r="G12" t="s">
        <v>21</v>
      </c>
      <c r="H12" t="s">
        <v>108</v>
      </c>
      <c r="I12" t="s">
        <v>30</v>
      </c>
      <c r="J12" t="s">
        <v>19</v>
      </c>
      <c r="K12" s="1">
        <v>45473</v>
      </c>
      <c r="L12" t="s">
        <v>110</v>
      </c>
    </row>
    <row r="13" spans="1:12" x14ac:dyDescent="0.3">
      <c r="A13" t="s">
        <v>147</v>
      </c>
      <c r="B13" t="s">
        <v>148</v>
      </c>
      <c r="C13" t="s">
        <v>149</v>
      </c>
      <c r="D13" t="s">
        <v>107</v>
      </c>
      <c r="E13" t="s">
        <v>26</v>
      </c>
      <c r="F13" t="s">
        <v>22</v>
      </c>
      <c r="G13" t="s">
        <v>21</v>
      </c>
      <c r="H13" t="s">
        <v>108</v>
      </c>
      <c r="I13" t="s">
        <v>30</v>
      </c>
      <c r="J13" t="s">
        <v>19</v>
      </c>
      <c r="K13" s="1">
        <v>45473</v>
      </c>
      <c r="L13" t="s">
        <v>110</v>
      </c>
    </row>
    <row r="14" spans="1:12" x14ac:dyDescent="0.3">
      <c r="A14" t="s">
        <v>150</v>
      </c>
      <c r="B14" t="s">
        <v>151</v>
      </c>
      <c r="C14" t="s">
        <v>152</v>
      </c>
      <c r="D14" t="s">
        <v>107</v>
      </c>
      <c r="E14" t="s">
        <v>26</v>
      </c>
      <c r="F14" t="s">
        <v>18</v>
      </c>
      <c r="G14" t="s">
        <v>17</v>
      </c>
      <c r="H14" t="s">
        <v>108</v>
      </c>
      <c r="I14" t="s">
        <v>30</v>
      </c>
      <c r="J14" t="s">
        <v>19</v>
      </c>
      <c r="K14" s="1">
        <v>45382</v>
      </c>
      <c r="L14" t="s">
        <v>119</v>
      </c>
    </row>
    <row r="15" spans="1:12" x14ac:dyDescent="0.3">
      <c r="A15" t="s">
        <v>153</v>
      </c>
      <c r="B15" t="s">
        <v>154</v>
      </c>
      <c r="C15" t="s">
        <v>155</v>
      </c>
      <c r="D15" t="s">
        <v>118</v>
      </c>
      <c r="E15" t="s">
        <v>13</v>
      </c>
      <c r="F15" t="s">
        <v>22</v>
      </c>
      <c r="G15" t="s">
        <v>21</v>
      </c>
      <c r="H15" t="s">
        <v>134</v>
      </c>
      <c r="I15" t="s">
        <v>30</v>
      </c>
      <c r="J15" t="s">
        <v>19</v>
      </c>
      <c r="K15" s="1">
        <v>45473</v>
      </c>
      <c r="L15" t="s">
        <v>110</v>
      </c>
    </row>
    <row r="16" spans="1:12" x14ac:dyDescent="0.3">
      <c r="A16" t="s">
        <v>156</v>
      </c>
      <c r="B16" t="s">
        <v>157</v>
      </c>
      <c r="C16" t="s">
        <v>158</v>
      </c>
      <c r="D16" t="s">
        <v>118</v>
      </c>
      <c r="E16" t="s">
        <v>114</v>
      </c>
      <c r="F16" t="s">
        <v>12</v>
      </c>
      <c r="G16" t="s">
        <v>11</v>
      </c>
      <c r="H16" t="s">
        <v>108</v>
      </c>
      <c r="I16" t="s">
        <v>159</v>
      </c>
      <c r="J16" t="s">
        <v>19</v>
      </c>
      <c r="K16" s="1">
        <v>45473</v>
      </c>
      <c r="L16" t="s">
        <v>110</v>
      </c>
    </row>
    <row r="17" spans="1:12" x14ac:dyDescent="0.3">
      <c r="A17" t="s">
        <v>160</v>
      </c>
      <c r="B17" t="s">
        <v>161</v>
      </c>
      <c r="C17" t="s">
        <v>162</v>
      </c>
      <c r="D17" t="s">
        <v>118</v>
      </c>
      <c r="E17" t="s">
        <v>13</v>
      </c>
      <c r="F17" t="s">
        <v>12</v>
      </c>
      <c r="G17" t="s">
        <v>11</v>
      </c>
      <c r="H17" t="s">
        <v>108</v>
      </c>
      <c r="I17" t="s">
        <v>159</v>
      </c>
      <c r="J17" t="s">
        <v>19</v>
      </c>
      <c r="K17" s="1">
        <v>45473</v>
      </c>
      <c r="L17" t="s">
        <v>110</v>
      </c>
    </row>
    <row r="18" spans="1:12" x14ac:dyDescent="0.3">
      <c r="A18" t="s">
        <v>163</v>
      </c>
      <c r="B18" t="s">
        <v>164</v>
      </c>
      <c r="C18" t="s">
        <v>165</v>
      </c>
      <c r="D18" t="s">
        <v>107</v>
      </c>
      <c r="E18" t="s">
        <v>13</v>
      </c>
      <c r="F18" t="s">
        <v>12</v>
      </c>
      <c r="G18" t="s">
        <v>11</v>
      </c>
      <c r="H18" t="s">
        <v>108</v>
      </c>
      <c r="I18" t="s">
        <v>159</v>
      </c>
      <c r="J18" t="s">
        <v>19</v>
      </c>
      <c r="K18" s="1">
        <v>45473</v>
      </c>
      <c r="L18" t="s">
        <v>119</v>
      </c>
    </row>
    <row r="19" spans="1:12" x14ac:dyDescent="0.3">
      <c r="A19" t="s">
        <v>166</v>
      </c>
      <c r="B19" t="s">
        <v>167</v>
      </c>
      <c r="C19" t="s">
        <v>168</v>
      </c>
      <c r="D19" t="s">
        <v>107</v>
      </c>
      <c r="E19" t="s">
        <v>26</v>
      </c>
      <c r="F19" t="s">
        <v>12</v>
      </c>
      <c r="G19" t="s">
        <v>11</v>
      </c>
      <c r="H19" t="s">
        <v>108</v>
      </c>
      <c r="I19" t="s">
        <v>159</v>
      </c>
      <c r="J19" t="s">
        <v>19</v>
      </c>
      <c r="K19" s="1">
        <v>45473</v>
      </c>
      <c r="L19" t="s">
        <v>110</v>
      </c>
    </row>
    <row r="20" spans="1:12" x14ac:dyDescent="0.3">
      <c r="A20" t="s">
        <v>169</v>
      </c>
      <c r="B20" t="s">
        <v>170</v>
      </c>
      <c r="C20" t="s">
        <v>171</v>
      </c>
      <c r="D20" t="s">
        <v>118</v>
      </c>
      <c r="E20" t="s">
        <v>114</v>
      </c>
      <c r="F20" t="s">
        <v>25</v>
      </c>
      <c r="G20" t="s">
        <v>11</v>
      </c>
      <c r="H20" t="s">
        <v>108</v>
      </c>
      <c r="I20" t="s">
        <v>159</v>
      </c>
      <c r="J20" t="s">
        <v>19</v>
      </c>
      <c r="K20" s="1">
        <v>45473</v>
      </c>
      <c r="L20" t="s">
        <v>110</v>
      </c>
    </row>
    <row r="21" spans="1:12" x14ac:dyDescent="0.3">
      <c r="A21" t="s">
        <v>172</v>
      </c>
      <c r="B21" t="s">
        <v>173</v>
      </c>
      <c r="C21" t="s">
        <v>174</v>
      </c>
      <c r="D21" t="s">
        <v>107</v>
      </c>
      <c r="E21" t="s">
        <v>13</v>
      </c>
      <c r="F21" t="s">
        <v>12</v>
      </c>
      <c r="G21" t="s">
        <v>11</v>
      </c>
      <c r="H21" t="s">
        <v>108</v>
      </c>
      <c r="I21" t="s">
        <v>159</v>
      </c>
      <c r="J21" t="s">
        <v>19</v>
      </c>
      <c r="K21" s="1">
        <v>45382</v>
      </c>
      <c r="L21" t="s">
        <v>126</v>
      </c>
    </row>
    <row r="22" spans="1:12" x14ac:dyDescent="0.3">
      <c r="A22" t="s">
        <v>175</v>
      </c>
      <c r="B22" t="s">
        <v>176</v>
      </c>
      <c r="C22" t="s">
        <v>177</v>
      </c>
      <c r="D22" t="s">
        <v>107</v>
      </c>
      <c r="E22" t="s">
        <v>114</v>
      </c>
      <c r="F22" t="s">
        <v>22</v>
      </c>
      <c r="G22" t="s">
        <v>21</v>
      </c>
      <c r="H22" t="s">
        <v>108</v>
      </c>
      <c r="I22" t="s">
        <v>109</v>
      </c>
      <c r="J22" t="s">
        <v>19</v>
      </c>
      <c r="K22" s="1">
        <v>45473</v>
      </c>
      <c r="L22" t="s">
        <v>110</v>
      </c>
    </row>
    <row r="23" spans="1:12" x14ac:dyDescent="0.3">
      <c r="A23" t="s">
        <v>178</v>
      </c>
      <c r="B23" t="s">
        <v>179</v>
      </c>
      <c r="C23" t="s">
        <v>180</v>
      </c>
      <c r="D23" t="s">
        <v>118</v>
      </c>
      <c r="E23" t="s">
        <v>26</v>
      </c>
      <c r="F23" t="s">
        <v>22</v>
      </c>
      <c r="G23" t="s">
        <v>21</v>
      </c>
      <c r="H23" t="s">
        <v>134</v>
      </c>
      <c r="I23" t="s">
        <v>109</v>
      </c>
      <c r="J23" t="s">
        <v>19</v>
      </c>
      <c r="K23" s="1">
        <v>45473</v>
      </c>
      <c r="L23" t="s">
        <v>110</v>
      </c>
    </row>
    <row r="24" spans="1:12" x14ac:dyDescent="0.3">
      <c r="A24" t="s">
        <v>181</v>
      </c>
      <c r="B24" t="s">
        <v>182</v>
      </c>
      <c r="C24" t="s">
        <v>183</v>
      </c>
      <c r="D24" t="s">
        <v>118</v>
      </c>
      <c r="E24" t="s">
        <v>13</v>
      </c>
      <c r="F24" t="s">
        <v>22</v>
      </c>
      <c r="G24" t="s">
        <v>21</v>
      </c>
      <c r="H24" t="s">
        <v>108</v>
      </c>
      <c r="I24" t="s">
        <v>109</v>
      </c>
      <c r="J24" t="s">
        <v>19</v>
      </c>
      <c r="K24" s="1">
        <v>45473</v>
      </c>
      <c r="L24" t="s">
        <v>110</v>
      </c>
    </row>
    <row r="25" spans="1:12" x14ac:dyDescent="0.3">
      <c r="A25" t="s">
        <v>184</v>
      </c>
      <c r="B25" t="s">
        <v>185</v>
      </c>
      <c r="C25" t="s">
        <v>186</v>
      </c>
      <c r="D25" t="s">
        <v>107</v>
      </c>
      <c r="E25" t="s">
        <v>13</v>
      </c>
      <c r="F25" t="s">
        <v>22</v>
      </c>
      <c r="G25" t="s">
        <v>21</v>
      </c>
      <c r="H25" t="s">
        <v>108</v>
      </c>
      <c r="I25" t="s">
        <v>109</v>
      </c>
      <c r="J25" t="s">
        <v>19</v>
      </c>
      <c r="K25" s="1">
        <v>45473</v>
      </c>
      <c r="L25" t="s">
        <v>119</v>
      </c>
    </row>
    <row r="26" spans="1:12" x14ac:dyDescent="0.3">
      <c r="A26" t="s">
        <v>187</v>
      </c>
      <c r="B26" t="s">
        <v>188</v>
      </c>
      <c r="C26" t="s">
        <v>189</v>
      </c>
      <c r="D26" t="s">
        <v>118</v>
      </c>
      <c r="E26" t="s">
        <v>26</v>
      </c>
      <c r="F26" t="s">
        <v>18</v>
      </c>
      <c r="G26" t="s">
        <v>17</v>
      </c>
      <c r="H26" t="s">
        <v>190</v>
      </c>
      <c r="I26" t="s">
        <v>30</v>
      </c>
      <c r="J26" t="s">
        <v>19</v>
      </c>
      <c r="K26" s="1">
        <v>45322</v>
      </c>
      <c r="L26" t="s">
        <v>110</v>
      </c>
    </row>
    <row r="27" spans="1:12" x14ac:dyDescent="0.3">
      <c r="A27" t="s">
        <v>191</v>
      </c>
      <c r="B27" t="s">
        <v>192</v>
      </c>
      <c r="C27" t="s">
        <v>193</v>
      </c>
      <c r="D27" t="s">
        <v>118</v>
      </c>
      <c r="E27" t="s">
        <v>13</v>
      </c>
      <c r="F27" t="s">
        <v>37</v>
      </c>
      <c r="G27" t="s">
        <v>36</v>
      </c>
      <c r="H27" t="s">
        <v>108</v>
      </c>
      <c r="I27" t="s">
        <v>159</v>
      </c>
      <c r="J27" t="s">
        <v>19</v>
      </c>
      <c r="K27" s="1">
        <v>45473</v>
      </c>
      <c r="L27" t="s">
        <v>110</v>
      </c>
    </row>
    <row r="28" spans="1:12" x14ac:dyDescent="0.3">
      <c r="A28" t="s">
        <v>194</v>
      </c>
      <c r="B28" t="s">
        <v>195</v>
      </c>
      <c r="C28" t="s">
        <v>196</v>
      </c>
      <c r="D28" t="s">
        <v>118</v>
      </c>
      <c r="E28" t="s">
        <v>114</v>
      </c>
      <c r="F28" t="s">
        <v>37</v>
      </c>
      <c r="G28" t="s">
        <v>36</v>
      </c>
      <c r="H28" t="s">
        <v>108</v>
      </c>
      <c r="I28" t="s">
        <v>159</v>
      </c>
      <c r="J28" t="s">
        <v>19</v>
      </c>
      <c r="K28" s="1">
        <v>45473</v>
      </c>
      <c r="L28" t="s">
        <v>110</v>
      </c>
    </row>
    <row r="29" spans="1:12" x14ac:dyDescent="0.3">
      <c r="A29" t="s">
        <v>197</v>
      </c>
      <c r="B29" t="s">
        <v>198</v>
      </c>
      <c r="C29" t="s">
        <v>199</v>
      </c>
      <c r="D29" t="s">
        <v>118</v>
      </c>
      <c r="E29" t="s">
        <v>114</v>
      </c>
      <c r="F29" t="s">
        <v>25</v>
      </c>
      <c r="G29" t="s">
        <v>11</v>
      </c>
      <c r="H29" t="s">
        <v>108</v>
      </c>
      <c r="I29" t="s">
        <v>159</v>
      </c>
      <c r="J29" t="s">
        <v>19</v>
      </c>
      <c r="K29" s="1">
        <v>45473</v>
      </c>
      <c r="L29" t="s">
        <v>110</v>
      </c>
    </row>
    <row r="30" spans="1:12" x14ac:dyDescent="0.3">
      <c r="A30" t="s">
        <v>200</v>
      </c>
      <c r="B30" t="s">
        <v>201</v>
      </c>
      <c r="C30" t="s">
        <v>202</v>
      </c>
      <c r="D30" t="s">
        <v>107</v>
      </c>
      <c r="E30" t="s">
        <v>26</v>
      </c>
      <c r="F30" t="s">
        <v>12</v>
      </c>
      <c r="G30" t="s">
        <v>11</v>
      </c>
      <c r="H30" t="s">
        <v>190</v>
      </c>
      <c r="I30" t="s">
        <v>159</v>
      </c>
      <c r="J30" t="s">
        <v>19</v>
      </c>
      <c r="K30" s="1">
        <v>45322</v>
      </c>
      <c r="L30" t="s">
        <v>110</v>
      </c>
    </row>
    <row r="31" spans="1:12" x14ac:dyDescent="0.3">
      <c r="A31" t="s">
        <v>203</v>
      </c>
      <c r="B31" t="s">
        <v>204</v>
      </c>
      <c r="C31" t="s">
        <v>205</v>
      </c>
      <c r="D31" t="s">
        <v>118</v>
      </c>
      <c r="E31" t="s">
        <v>26</v>
      </c>
      <c r="F31" t="s">
        <v>25</v>
      </c>
      <c r="G31" t="s">
        <v>11</v>
      </c>
      <c r="H31" t="s">
        <v>108</v>
      </c>
      <c r="I31" t="s">
        <v>159</v>
      </c>
      <c r="J31" t="s">
        <v>19</v>
      </c>
      <c r="K31" s="1">
        <v>45473</v>
      </c>
      <c r="L31" t="s">
        <v>110</v>
      </c>
    </row>
    <row r="32" spans="1:12" x14ac:dyDescent="0.3">
      <c r="A32" t="s">
        <v>206</v>
      </c>
      <c r="B32" t="s">
        <v>207</v>
      </c>
      <c r="C32" t="s">
        <v>208</v>
      </c>
      <c r="D32" t="s">
        <v>118</v>
      </c>
      <c r="E32" t="s">
        <v>26</v>
      </c>
      <c r="F32" t="s">
        <v>18</v>
      </c>
      <c r="G32" t="s">
        <v>17</v>
      </c>
      <c r="H32" t="s">
        <v>190</v>
      </c>
      <c r="I32" t="s">
        <v>30</v>
      </c>
      <c r="J32" t="s">
        <v>19</v>
      </c>
      <c r="K32" s="1">
        <v>45322</v>
      </c>
      <c r="L32" t="s">
        <v>110</v>
      </c>
    </row>
    <row r="33" spans="1:12" x14ac:dyDescent="0.3">
      <c r="A33" t="s">
        <v>209</v>
      </c>
      <c r="B33" t="s">
        <v>210</v>
      </c>
      <c r="C33" t="s">
        <v>211</v>
      </c>
      <c r="D33" t="s">
        <v>107</v>
      </c>
      <c r="E33" t="s">
        <v>13</v>
      </c>
      <c r="F33" t="s">
        <v>22</v>
      </c>
      <c r="G33" t="s">
        <v>21</v>
      </c>
      <c r="H33" t="s">
        <v>108</v>
      </c>
      <c r="I33" t="s">
        <v>30</v>
      </c>
      <c r="J33" t="s">
        <v>19</v>
      </c>
      <c r="K33" s="1">
        <v>45473</v>
      </c>
      <c r="L33" t="s">
        <v>110</v>
      </c>
    </row>
    <row r="34" spans="1:12" x14ac:dyDescent="0.3">
      <c r="A34" t="s">
        <v>212</v>
      </c>
      <c r="B34" t="s">
        <v>213</v>
      </c>
      <c r="C34" t="s">
        <v>214</v>
      </c>
      <c r="D34" t="s">
        <v>107</v>
      </c>
      <c r="E34" t="s">
        <v>13</v>
      </c>
      <c r="F34" t="s">
        <v>22</v>
      </c>
      <c r="G34" t="s">
        <v>21</v>
      </c>
      <c r="H34" t="s">
        <v>134</v>
      </c>
      <c r="I34" t="s">
        <v>30</v>
      </c>
      <c r="J34" t="s">
        <v>19</v>
      </c>
      <c r="K34" s="1">
        <v>45473</v>
      </c>
      <c r="L34" t="s">
        <v>119</v>
      </c>
    </row>
    <row r="35" spans="1:12" x14ac:dyDescent="0.3">
      <c r="A35" t="s">
        <v>215</v>
      </c>
      <c r="B35" t="s">
        <v>216</v>
      </c>
      <c r="C35" t="s">
        <v>217</v>
      </c>
      <c r="D35" t="s">
        <v>118</v>
      </c>
      <c r="E35" t="s">
        <v>13</v>
      </c>
      <c r="F35" t="s">
        <v>22</v>
      </c>
      <c r="G35" t="s">
        <v>21</v>
      </c>
      <c r="H35" t="s">
        <v>108</v>
      </c>
      <c r="I35" t="s">
        <v>30</v>
      </c>
      <c r="J35" t="s">
        <v>19</v>
      </c>
      <c r="K35" s="1">
        <v>45473</v>
      </c>
      <c r="L35" t="s">
        <v>110</v>
      </c>
    </row>
    <row r="36" spans="1:12" x14ac:dyDescent="0.3">
      <c r="A36" t="s">
        <v>218</v>
      </c>
      <c r="B36" t="s">
        <v>219</v>
      </c>
      <c r="C36" t="s">
        <v>220</v>
      </c>
      <c r="D36" t="s">
        <v>107</v>
      </c>
      <c r="E36" t="s">
        <v>13</v>
      </c>
      <c r="F36" t="s">
        <v>22</v>
      </c>
      <c r="G36" t="s">
        <v>21</v>
      </c>
      <c r="H36" t="s">
        <v>108</v>
      </c>
      <c r="I36" t="s">
        <v>109</v>
      </c>
      <c r="J36" t="s">
        <v>19</v>
      </c>
      <c r="K36" s="1">
        <v>45473</v>
      </c>
      <c r="L36" t="s">
        <v>110</v>
      </c>
    </row>
    <row r="37" spans="1:12" x14ac:dyDescent="0.3">
      <c r="A37" t="s">
        <v>221</v>
      </c>
      <c r="B37" t="s">
        <v>222</v>
      </c>
      <c r="C37" t="s">
        <v>223</v>
      </c>
      <c r="D37" t="s">
        <v>118</v>
      </c>
      <c r="E37" t="s">
        <v>13</v>
      </c>
      <c r="F37" t="s">
        <v>22</v>
      </c>
      <c r="G37" t="s">
        <v>21</v>
      </c>
      <c r="H37" t="s">
        <v>134</v>
      </c>
      <c r="I37" t="s">
        <v>130</v>
      </c>
      <c r="J37" t="s">
        <v>19</v>
      </c>
      <c r="K37" s="1">
        <v>45473</v>
      </c>
      <c r="L37" t="s">
        <v>110</v>
      </c>
    </row>
    <row r="38" spans="1:12" x14ac:dyDescent="0.3">
      <c r="A38" t="s">
        <v>224</v>
      </c>
      <c r="B38" t="s">
        <v>225</v>
      </c>
      <c r="C38" t="s">
        <v>226</v>
      </c>
      <c r="D38" t="s">
        <v>118</v>
      </c>
      <c r="E38" t="s">
        <v>114</v>
      </c>
      <c r="F38" t="s">
        <v>25</v>
      </c>
      <c r="G38" t="s">
        <v>24</v>
      </c>
      <c r="H38" t="s">
        <v>108</v>
      </c>
      <c r="I38" t="s">
        <v>159</v>
      </c>
      <c r="J38" t="s">
        <v>19</v>
      </c>
      <c r="K38" s="1">
        <v>45473</v>
      </c>
      <c r="L38" t="s">
        <v>110</v>
      </c>
    </row>
    <row r="39" spans="1:12" x14ac:dyDescent="0.3">
      <c r="A39" t="s">
        <v>227</v>
      </c>
      <c r="B39" t="s">
        <v>228</v>
      </c>
      <c r="C39" t="s">
        <v>229</v>
      </c>
      <c r="D39" t="s">
        <v>118</v>
      </c>
      <c r="E39" t="s">
        <v>13</v>
      </c>
      <c r="F39" t="s">
        <v>25</v>
      </c>
      <c r="G39" t="s">
        <v>11</v>
      </c>
      <c r="H39" t="s">
        <v>108</v>
      </c>
      <c r="I39" t="s">
        <v>159</v>
      </c>
      <c r="J39" t="s">
        <v>19</v>
      </c>
      <c r="K39" s="1">
        <v>45473</v>
      </c>
      <c r="L39" t="s">
        <v>110</v>
      </c>
    </row>
    <row r="40" spans="1:12" x14ac:dyDescent="0.3">
      <c r="A40" t="s">
        <v>230</v>
      </c>
      <c r="B40" t="s">
        <v>231</v>
      </c>
      <c r="C40" t="s">
        <v>232</v>
      </c>
      <c r="D40" t="s">
        <v>118</v>
      </c>
      <c r="E40" t="s">
        <v>114</v>
      </c>
      <c r="F40" t="s">
        <v>18</v>
      </c>
      <c r="G40" t="s">
        <v>17</v>
      </c>
      <c r="H40" t="s">
        <v>108</v>
      </c>
      <c r="I40" t="s">
        <v>159</v>
      </c>
      <c r="J40" t="s">
        <v>19</v>
      </c>
      <c r="K40" s="1">
        <v>45473</v>
      </c>
      <c r="L40" t="s">
        <v>119</v>
      </c>
    </row>
    <row r="41" spans="1:12" x14ac:dyDescent="0.3">
      <c r="A41" t="s">
        <v>233</v>
      </c>
      <c r="B41" t="s">
        <v>234</v>
      </c>
      <c r="C41" t="s">
        <v>235</v>
      </c>
      <c r="D41" t="s">
        <v>107</v>
      </c>
      <c r="E41" t="s">
        <v>13</v>
      </c>
      <c r="F41" t="s">
        <v>18</v>
      </c>
      <c r="G41" t="s">
        <v>17</v>
      </c>
      <c r="H41" t="s">
        <v>108</v>
      </c>
      <c r="I41" t="s">
        <v>159</v>
      </c>
      <c r="J41" t="s">
        <v>19</v>
      </c>
      <c r="K41" s="1">
        <v>45473</v>
      </c>
      <c r="L41" t="s">
        <v>110</v>
      </c>
    </row>
    <row r="42" spans="1:12" x14ac:dyDescent="0.3">
      <c r="A42" t="s">
        <v>236</v>
      </c>
      <c r="B42" t="s">
        <v>237</v>
      </c>
      <c r="C42" t="s">
        <v>238</v>
      </c>
      <c r="D42" t="s">
        <v>107</v>
      </c>
      <c r="E42" t="s">
        <v>26</v>
      </c>
      <c r="F42" t="s">
        <v>31</v>
      </c>
      <c r="G42" t="s">
        <v>39</v>
      </c>
      <c r="H42" t="s">
        <v>190</v>
      </c>
      <c r="I42" t="s">
        <v>30</v>
      </c>
      <c r="J42" t="s">
        <v>19</v>
      </c>
      <c r="K42" s="1">
        <v>45322</v>
      </c>
      <c r="L42" t="s">
        <v>110</v>
      </c>
    </row>
    <row r="43" spans="1:12" x14ac:dyDescent="0.3">
      <c r="A43" t="s">
        <v>239</v>
      </c>
      <c r="B43" t="s">
        <v>240</v>
      </c>
      <c r="C43" t="s">
        <v>241</v>
      </c>
      <c r="D43" t="s">
        <v>107</v>
      </c>
      <c r="E43" t="s">
        <v>13</v>
      </c>
      <c r="F43" t="s">
        <v>31</v>
      </c>
      <c r="G43" t="s">
        <v>39</v>
      </c>
      <c r="H43" t="s">
        <v>134</v>
      </c>
      <c r="I43" t="s">
        <v>30</v>
      </c>
      <c r="J43" t="s">
        <v>19</v>
      </c>
      <c r="K43" s="1">
        <v>45473</v>
      </c>
      <c r="L43" t="s">
        <v>110</v>
      </c>
    </row>
    <row r="44" spans="1:12" x14ac:dyDescent="0.3">
      <c r="A44" t="s">
        <v>242</v>
      </c>
      <c r="B44" t="s">
        <v>243</v>
      </c>
      <c r="C44" t="s">
        <v>244</v>
      </c>
      <c r="D44" t="s">
        <v>118</v>
      </c>
      <c r="E44" t="s">
        <v>26</v>
      </c>
      <c r="F44" t="s">
        <v>18</v>
      </c>
      <c r="G44" t="s">
        <v>17</v>
      </c>
      <c r="H44" t="s">
        <v>190</v>
      </c>
      <c r="I44" t="s">
        <v>30</v>
      </c>
      <c r="J44" t="s">
        <v>19</v>
      </c>
      <c r="K44" s="1">
        <v>45322</v>
      </c>
      <c r="L44" t="s">
        <v>110</v>
      </c>
    </row>
    <row r="45" spans="1:12" x14ac:dyDescent="0.3">
      <c r="A45" t="s">
        <v>245</v>
      </c>
      <c r="B45" t="s">
        <v>246</v>
      </c>
      <c r="C45" t="s">
        <v>247</v>
      </c>
      <c r="D45" t="s">
        <v>118</v>
      </c>
      <c r="E45" t="s">
        <v>26</v>
      </c>
      <c r="F45" t="s">
        <v>18</v>
      </c>
      <c r="G45" t="s">
        <v>17</v>
      </c>
      <c r="H45" t="s">
        <v>190</v>
      </c>
      <c r="I45" t="s">
        <v>30</v>
      </c>
      <c r="J45" t="s">
        <v>19</v>
      </c>
      <c r="K45" s="1">
        <v>45322</v>
      </c>
      <c r="L45" t="s">
        <v>110</v>
      </c>
    </row>
    <row r="46" spans="1:12" x14ac:dyDescent="0.3">
      <c r="A46" t="s">
        <v>248</v>
      </c>
      <c r="B46" t="s">
        <v>249</v>
      </c>
      <c r="C46" t="s">
        <v>250</v>
      </c>
      <c r="D46" t="s">
        <v>118</v>
      </c>
      <c r="E46" t="s">
        <v>26</v>
      </c>
      <c r="F46" t="s">
        <v>31</v>
      </c>
      <c r="G46" t="s">
        <v>17</v>
      </c>
      <c r="H46" t="s">
        <v>190</v>
      </c>
      <c r="I46" t="s">
        <v>30</v>
      </c>
      <c r="J46" t="s">
        <v>19</v>
      </c>
      <c r="K46" s="1">
        <v>45322</v>
      </c>
      <c r="L46" t="s">
        <v>110</v>
      </c>
    </row>
    <row r="47" spans="1:12" x14ac:dyDescent="0.3">
      <c r="A47" t="s">
        <v>251</v>
      </c>
      <c r="B47" t="s">
        <v>252</v>
      </c>
      <c r="C47" t="s">
        <v>253</v>
      </c>
      <c r="D47" t="s">
        <v>118</v>
      </c>
      <c r="E47" t="s">
        <v>13</v>
      </c>
      <c r="F47" t="s">
        <v>18</v>
      </c>
      <c r="G47" t="s">
        <v>17</v>
      </c>
      <c r="H47" t="s">
        <v>190</v>
      </c>
      <c r="I47" t="s">
        <v>159</v>
      </c>
      <c r="J47" t="s">
        <v>19</v>
      </c>
      <c r="K47" s="1">
        <v>45322</v>
      </c>
      <c r="L47" t="s">
        <v>110</v>
      </c>
    </row>
    <row r="48" spans="1:12" x14ac:dyDescent="0.3">
      <c r="A48" t="s">
        <v>254</v>
      </c>
      <c r="B48" t="s">
        <v>255</v>
      </c>
      <c r="C48" t="s">
        <v>256</v>
      </c>
      <c r="D48" t="s">
        <v>107</v>
      </c>
      <c r="E48" t="s">
        <v>13</v>
      </c>
      <c r="F48" t="s">
        <v>22</v>
      </c>
      <c r="G48" t="s">
        <v>21</v>
      </c>
      <c r="H48" t="s">
        <v>108</v>
      </c>
      <c r="I48" t="s">
        <v>109</v>
      </c>
      <c r="J48" t="s">
        <v>19</v>
      </c>
      <c r="K48" s="1">
        <v>45473</v>
      </c>
      <c r="L48" t="s">
        <v>110</v>
      </c>
    </row>
    <row r="49" spans="1:12" x14ac:dyDescent="0.3">
      <c r="A49" t="s">
        <v>257</v>
      </c>
      <c r="B49" t="s">
        <v>258</v>
      </c>
      <c r="C49" t="s">
        <v>259</v>
      </c>
      <c r="D49" t="s">
        <v>107</v>
      </c>
      <c r="E49" t="s">
        <v>13</v>
      </c>
      <c r="F49" t="s">
        <v>18</v>
      </c>
      <c r="G49" t="s">
        <v>17</v>
      </c>
      <c r="H49" t="s">
        <v>190</v>
      </c>
      <c r="I49" t="s">
        <v>30</v>
      </c>
      <c r="J49" t="s">
        <v>19</v>
      </c>
      <c r="K49" s="1">
        <v>45322</v>
      </c>
      <c r="L49" t="s">
        <v>110</v>
      </c>
    </row>
    <row r="50" spans="1:12" x14ac:dyDescent="0.3">
      <c r="A50" t="s">
        <v>260</v>
      </c>
      <c r="B50" t="s">
        <v>261</v>
      </c>
      <c r="C50" t="s">
        <v>262</v>
      </c>
      <c r="D50" t="s">
        <v>107</v>
      </c>
      <c r="E50" t="s">
        <v>114</v>
      </c>
      <c r="F50" t="s">
        <v>12</v>
      </c>
      <c r="G50" t="s">
        <v>11</v>
      </c>
      <c r="H50" t="s">
        <v>108</v>
      </c>
      <c r="I50" t="s">
        <v>159</v>
      </c>
      <c r="J50" t="s">
        <v>19</v>
      </c>
      <c r="K50" s="1">
        <v>45473</v>
      </c>
      <c r="L50" t="s">
        <v>110</v>
      </c>
    </row>
    <row r="51" spans="1:12" x14ac:dyDescent="0.3">
      <c r="A51" t="s">
        <v>263</v>
      </c>
      <c r="B51" t="s">
        <v>264</v>
      </c>
      <c r="C51" t="s">
        <v>265</v>
      </c>
      <c r="D51" t="s">
        <v>107</v>
      </c>
      <c r="E51" t="s">
        <v>114</v>
      </c>
      <c r="F51" t="s">
        <v>18</v>
      </c>
      <c r="G51" t="s">
        <v>17</v>
      </c>
      <c r="H51" t="s">
        <v>108</v>
      </c>
      <c r="I51" t="s">
        <v>159</v>
      </c>
      <c r="J51" t="s">
        <v>19</v>
      </c>
      <c r="K51" s="1">
        <v>45473</v>
      </c>
      <c r="L51" t="s">
        <v>119</v>
      </c>
    </row>
  </sheetData>
  <conditionalFormatting sqref="L1:L1048576">
    <cfRule type="cellIs" dxfId="4" priority="3" operator="equal">
      <formula>"Missing"</formula>
    </cfRule>
    <cfRule type="cellIs" dxfId="5" priority="2" operator="equal">
      <formula>"Pending"</formula>
    </cfRule>
    <cfRule type="cellIs" dxfId="3" priority="1" operator="equal">
      <formula>"Collected"</formula>
    </cfRule>
  </conditionalFormatting>
  <dataValidations count="3">
    <dataValidation type="list" allowBlank="1" showInputMessage="1" showErrorMessage="1" sqref="E1:E1048576" xr:uid="{4A6D519E-C998-41DD-90A7-0756E10FCD63}">
      <formula1>"Critical, High, Medium, Low"</formula1>
    </dataValidation>
    <dataValidation type="list" allowBlank="1" showInputMessage="1" showErrorMessage="1" sqref="H1:H1048576" xr:uid="{27FBC695-F297-4B41-BA90-C3A45B9F5D4B}">
      <formula1>"Quarterly, Semi-Annual, Annual"</formula1>
    </dataValidation>
    <dataValidation type="list" allowBlank="1" showInputMessage="1" showErrorMessage="1" sqref="L1:L1048576" xr:uid="{931FC5C5-33A3-4B05-8C7F-9C95DD3C6B00}">
      <formula1>"Collected, Pending, Missing"</formula1>
    </dataValidation>
  </dataValidations>
  <pageMargins left="0.7" right="0.7" top="0.75" bottom="0.75" header="0.3" footer="0.3"/>
  <headerFooter>
    <oddFooter>&amp;L_x000D_&amp;1#&amp;"Aptos"&amp;10&amp;K000000 Sensitivity: C1-Internal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29676-8A64-406D-AE9A-06A85838EFC5}">
  <dimension ref="A1:M41"/>
  <sheetViews>
    <sheetView workbookViewId="0">
      <pane ySplit="1" topLeftCell="A2" activePane="bottomLeft" state="frozen"/>
      <selection pane="bottomLeft" sqref="A1:XFD1"/>
    </sheetView>
  </sheetViews>
  <sheetFormatPr baseColWidth="10" defaultRowHeight="14.4" x14ac:dyDescent="0.3"/>
  <cols>
    <col min="4" max="4" width="12.6640625" customWidth="1"/>
    <col min="6" max="6" width="11.77734375" customWidth="1"/>
    <col min="7" max="7" width="14.33203125" customWidth="1"/>
    <col min="8" max="8" width="14.88671875" customWidth="1"/>
    <col min="9" max="9" width="14.88671875" style="16" customWidth="1"/>
    <col min="10" max="10" width="21" customWidth="1"/>
    <col min="11" max="11" width="18.88671875" customWidth="1"/>
    <col min="12" max="12" width="12.5546875" customWidth="1"/>
    <col min="13" max="13" width="12" customWidth="1"/>
  </cols>
  <sheetData>
    <row r="1" spans="1:13" x14ac:dyDescent="0.3">
      <c r="A1" t="s">
        <v>266</v>
      </c>
      <c r="B1" t="s">
        <v>94</v>
      </c>
      <c r="C1" t="s">
        <v>0</v>
      </c>
      <c r="D1" t="s">
        <v>267</v>
      </c>
      <c r="E1" t="s">
        <v>268</v>
      </c>
      <c r="F1" t="s">
        <v>269</v>
      </c>
      <c r="G1" t="s">
        <v>270</v>
      </c>
      <c r="H1" t="s">
        <v>271</v>
      </c>
      <c r="I1" s="16" t="s">
        <v>515</v>
      </c>
      <c r="J1" t="s">
        <v>272</v>
      </c>
      <c r="K1" t="s">
        <v>273</v>
      </c>
      <c r="L1" t="s">
        <v>274</v>
      </c>
      <c r="M1" t="s">
        <v>275</v>
      </c>
    </row>
    <row r="2" spans="1:13" x14ac:dyDescent="0.3">
      <c r="A2" t="s">
        <v>276</v>
      </c>
      <c r="B2" t="s">
        <v>123</v>
      </c>
      <c r="C2" t="s">
        <v>75</v>
      </c>
      <c r="D2" t="s">
        <v>277</v>
      </c>
      <c r="E2" t="s">
        <v>114</v>
      </c>
      <c r="F2" t="s">
        <v>278</v>
      </c>
      <c r="G2" t="s">
        <v>22</v>
      </c>
      <c r="H2" s="1">
        <v>45306</v>
      </c>
      <c r="I2" s="16">
        <f ca="1">IF(AUDIT_FINDINGS[[#This Row],[RemediationStatus]]="Closed",AUDIT_FINDINGS[[#This Row],[DateClosed]]-AUDIT_FINDINGS[[#This Row],[DateIdentified]],TODAY()-AUDIT_FINDINGS[[#This Row],[DateIdentified]])</f>
        <v>26</v>
      </c>
      <c r="J2" s="1">
        <v>45337</v>
      </c>
      <c r="K2" t="s">
        <v>279</v>
      </c>
      <c r="L2" s="1">
        <v>45332</v>
      </c>
      <c r="M2" t="s">
        <v>280</v>
      </c>
    </row>
    <row r="3" spans="1:13" x14ac:dyDescent="0.3">
      <c r="A3" t="s">
        <v>281</v>
      </c>
      <c r="B3" t="s">
        <v>115</v>
      </c>
      <c r="C3" t="s">
        <v>63</v>
      </c>
      <c r="D3" t="s">
        <v>282</v>
      </c>
      <c r="E3" t="s">
        <v>114</v>
      </c>
      <c r="F3" t="s">
        <v>283</v>
      </c>
      <c r="G3" t="s">
        <v>12</v>
      </c>
      <c r="H3" s="1">
        <v>45311</v>
      </c>
      <c r="I3" s="16">
        <f ca="1">IF(AUDIT_FINDINGS[[#This Row],[RemediationStatus]]="Closed",AUDIT_FINDINGS[[#This Row],[DateClosed]]-AUDIT_FINDINGS[[#This Row],[DateIdentified]],TODAY()-AUDIT_FINDINGS[[#This Row],[DateIdentified]])</f>
        <v>29</v>
      </c>
      <c r="J3" s="1">
        <v>45342</v>
      </c>
      <c r="K3" t="s">
        <v>279</v>
      </c>
      <c r="L3" s="1">
        <v>45340</v>
      </c>
      <c r="M3" t="s">
        <v>280</v>
      </c>
    </row>
    <row r="4" spans="1:13" x14ac:dyDescent="0.3">
      <c r="A4" t="s">
        <v>284</v>
      </c>
      <c r="B4" t="s">
        <v>163</v>
      </c>
      <c r="C4" t="s">
        <v>68</v>
      </c>
      <c r="D4" t="s">
        <v>285</v>
      </c>
      <c r="E4" t="s">
        <v>13</v>
      </c>
      <c r="F4" t="s">
        <v>286</v>
      </c>
      <c r="G4" t="s">
        <v>12</v>
      </c>
      <c r="H4" s="1">
        <v>45316</v>
      </c>
      <c r="I4" s="16">
        <f ca="1">IF(AUDIT_FINDINGS[[#This Row],[RemediationStatus]]="Closed",AUDIT_FINDINGS[[#This Row],[DateClosed]]-AUDIT_FINDINGS[[#This Row],[DateIdentified]],TODAY()-AUDIT_FINDINGS[[#This Row],[DateIdentified]])</f>
        <v>28</v>
      </c>
      <c r="J4" s="1">
        <v>45347</v>
      </c>
      <c r="K4" t="s">
        <v>279</v>
      </c>
      <c r="L4" s="1">
        <v>45344</v>
      </c>
      <c r="M4" t="s">
        <v>280</v>
      </c>
    </row>
    <row r="5" spans="1:13" x14ac:dyDescent="0.3">
      <c r="A5" t="s">
        <v>287</v>
      </c>
      <c r="B5" t="s">
        <v>135</v>
      </c>
      <c r="C5" t="s">
        <v>66</v>
      </c>
      <c r="D5" t="s">
        <v>288</v>
      </c>
      <c r="E5" t="s">
        <v>13</v>
      </c>
      <c r="F5" t="s">
        <v>289</v>
      </c>
      <c r="G5" t="s">
        <v>22</v>
      </c>
      <c r="H5" s="1">
        <v>45327</v>
      </c>
      <c r="I5" s="16">
        <f ca="1">IF(AUDIT_FINDINGS[[#This Row],[RemediationStatus]]="Closed",AUDIT_FINDINGS[[#This Row],[DateClosed]]-AUDIT_FINDINGS[[#This Row],[DateIdentified]],TODAY()-AUDIT_FINDINGS[[#This Row],[DateIdentified]])</f>
        <v>25</v>
      </c>
      <c r="J5" s="1">
        <v>45356</v>
      </c>
      <c r="K5" t="s">
        <v>279</v>
      </c>
      <c r="L5" s="1">
        <v>45352</v>
      </c>
      <c r="M5" t="s">
        <v>280</v>
      </c>
    </row>
    <row r="6" spans="1:13" x14ac:dyDescent="0.3">
      <c r="A6" t="s">
        <v>290</v>
      </c>
      <c r="B6" t="s">
        <v>172</v>
      </c>
      <c r="C6" t="s">
        <v>63</v>
      </c>
      <c r="D6" t="s">
        <v>291</v>
      </c>
      <c r="E6" t="s">
        <v>13</v>
      </c>
      <c r="F6" t="s">
        <v>292</v>
      </c>
      <c r="G6" t="s">
        <v>12</v>
      </c>
      <c r="H6" s="1">
        <v>45332</v>
      </c>
      <c r="I6" s="16">
        <f ca="1">IF(AUDIT_FINDINGS[[#This Row],[RemediationStatus]]="Closed",AUDIT_FINDINGS[[#This Row],[DateClosed]]-AUDIT_FINDINGS[[#This Row],[DateIdentified]],TODAY()-AUDIT_FINDINGS[[#This Row],[DateIdentified]])</f>
        <v>27</v>
      </c>
      <c r="J6" s="1">
        <v>45361</v>
      </c>
      <c r="K6" t="s">
        <v>279</v>
      </c>
      <c r="L6" s="1">
        <v>45359</v>
      </c>
      <c r="M6" t="s">
        <v>280</v>
      </c>
    </row>
    <row r="7" spans="1:13" x14ac:dyDescent="0.3">
      <c r="A7" t="s">
        <v>293</v>
      </c>
      <c r="B7" t="s">
        <v>184</v>
      </c>
      <c r="C7" t="s">
        <v>73</v>
      </c>
      <c r="D7" t="s">
        <v>294</v>
      </c>
      <c r="E7" t="s">
        <v>13</v>
      </c>
      <c r="F7" t="s">
        <v>295</v>
      </c>
      <c r="G7" t="s">
        <v>22</v>
      </c>
      <c r="H7" s="1">
        <v>45337</v>
      </c>
      <c r="I7" s="16">
        <f ca="1">IF(AUDIT_FINDINGS[[#This Row],[RemediationStatus]]="Closed",AUDIT_FINDINGS[[#This Row],[DateClosed]]-AUDIT_FINDINGS[[#This Row],[DateIdentified]],TODAY()-AUDIT_FINDINGS[[#This Row],[DateIdentified]])</f>
        <v>26</v>
      </c>
      <c r="J7" s="1">
        <v>45366</v>
      </c>
      <c r="K7" t="s">
        <v>279</v>
      </c>
      <c r="L7" s="1">
        <v>45363</v>
      </c>
      <c r="M7" t="s">
        <v>280</v>
      </c>
    </row>
    <row r="8" spans="1:13" x14ac:dyDescent="0.3">
      <c r="A8" t="s">
        <v>296</v>
      </c>
      <c r="B8" t="s">
        <v>156</v>
      </c>
      <c r="C8" t="s">
        <v>63</v>
      </c>
      <c r="D8" t="s">
        <v>297</v>
      </c>
      <c r="E8" t="s">
        <v>114</v>
      </c>
      <c r="F8" t="s">
        <v>298</v>
      </c>
      <c r="G8" t="s">
        <v>12</v>
      </c>
      <c r="H8" s="1">
        <v>45342</v>
      </c>
      <c r="I8" s="16">
        <f ca="1">IF(AUDIT_FINDINGS[[#This Row],[RemediationStatus]]="Closed",AUDIT_FINDINGS[[#This Row],[DateClosed]]-AUDIT_FINDINGS[[#This Row],[DateIdentified]],TODAY()-AUDIT_FINDINGS[[#This Row],[DateIdentified]])</f>
        <v>24</v>
      </c>
      <c r="J8" s="1">
        <v>45371</v>
      </c>
      <c r="K8" t="s">
        <v>279</v>
      </c>
      <c r="L8" s="1">
        <v>45366</v>
      </c>
      <c r="M8" t="s">
        <v>280</v>
      </c>
    </row>
    <row r="9" spans="1:13" x14ac:dyDescent="0.3">
      <c r="A9" t="s">
        <v>299</v>
      </c>
      <c r="B9" t="s">
        <v>141</v>
      </c>
      <c r="C9" t="s">
        <v>71</v>
      </c>
      <c r="D9" t="s">
        <v>300</v>
      </c>
      <c r="E9" t="s">
        <v>13</v>
      </c>
      <c r="F9" t="s">
        <v>301</v>
      </c>
      <c r="G9" t="s">
        <v>22</v>
      </c>
      <c r="H9" s="1">
        <v>45352</v>
      </c>
      <c r="I9" s="16">
        <f ca="1">IF(AUDIT_FINDINGS[[#This Row],[RemediationStatus]]="Closed",AUDIT_FINDINGS[[#This Row],[DateClosed]]-AUDIT_FINDINGS[[#This Row],[DateIdentified]],TODAY()-AUDIT_FINDINGS[[#This Row],[DateIdentified]])</f>
        <v>27</v>
      </c>
      <c r="J9" s="1">
        <v>45383</v>
      </c>
      <c r="K9" t="s">
        <v>279</v>
      </c>
      <c r="L9" s="1">
        <v>45379</v>
      </c>
      <c r="M9" t="s">
        <v>280</v>
      </c>
    </row>
    <row r="10" spans="1:13" x14ac:dyDescent="0.3">
      <c r="A10" t="s">
        <v>302</v>
      </c>
      <c r="B10" t="s">
        <v>212</v>
      </c>
      <c r="C10" t="s">
        <v>71</v>
      </c>
      <c r="D10" t="s">
        <v>303</v>
      </c>
      <c r="E10" t="s">
        <v>13</v>
      </c>
      <c r="F10" t="s">
        <v>304</v>
      </c>
      <c r="G10" t="s">
        <v>22</v>
      </c>
      <c r="H10" s="1">
        <v>45361</v>
      </c>
      <c r="I10" s="16">
        <f ca="1">IF(AUDIT_FINDINGS[[#This Row],[RemediationStatus]]="Closed",AUDIT_FINDINGS[[#This Row],[DateClosed]]-AUDIT_FINDINGS[[#This Row],[DateIdentified]],TODAY()-AUDIT_FINDINGS[[#This Row],[DateIdentified]])</f>
        <v>26</v>
      </c>
      <c r="J10" s="1">
        <v>45392</v>
      </c>
      <c r="K10" t="s">
        <v>279</v>
      </c>
      <c r="L10" s="1">
        <v>45387</v>
      </c>
      <c r="M10" t="s">
        <v>280</v>
      </c>
    </row>
    <row r="11" spans="1:13" x14ac:dyDescent="0.3">
      <c r="A11" t="s">
        <v>305</v>
      </c>
      <c r="B11" t="s">
        <v>230</v>
      </c>
      <c r="C11" t="s">
        <v>76</v>
      </c>
      <c r="D11" t="s">
        <v>306</v>
      </c>
      <c r="E11" t="s">
        <v>114</v>
      </c>
      <c r="F11" t="s">
        <v>307</v>
      </c>
      <c r="G11" t="s">
        <v>18</v>
      </c>
      <c r="H11" s="1">
        <v>45366</v>
      </c>
      <c r="I11" s="16">
        <f ca="1">IF(AUDIT_FINDINGS[[#This Row],[RemediationStatus]]="Closed",AUDIT_FINDINGS[[#This Row],[DateClosed]]-AUDIT_FINDINGS[[#This Row],[DateIdentified]],TODAY()-AUDIT_FINDINGS[[#This Row],[DateIdentified]])</f>
        <v>26</v>
      </c>
      <c r="J11" s="1">
        <v>45397</v>
      </c>
      <c r="K11" t="s">
        <v>279</v>
      </c>
      <c r="L11" s="1">
        <v>45392</v>
      </c>
      <c r="M11" t="s">
        <v>280</v>
      </c>
    </row>
    <row r="12" spans="1:13" x14ac:dyDescent="0.3">
      <c r="A12" t="s">
        <v>308</v>
      </c>
      <c r="B12" t="s">
        <v>104</v>
      </c>
      <c r="C12" t="s">
        <v>79</v>
      </c>
      <c r="D12" t="s">
        <v>309</v>
      </c>
      <c r="E12" t="s">
        <v>13</v>
      </c>
      <c r="F12" t="s">
        <v>310</v>
      </c>
      <c r="G12" t="s">
        <v>22</v>
      </c>
      <c r="H12" s="1">
        <v>45387</v>
      </c>
      <c r="I12" s="16">
        <f ca="1">IF(AUDIT_FINDINGS[[#This Row],[RemediationStatus]]="Closed",AUDIT_FINDINGS[[#This Row],[DateClosed]]-AUDIT_FINDINGS[[#This Row],[DateIdentified]],TODAY()-AUDIT_FINDINGS[[#This Row],[DateIdentified]])</f>
        <v>25</v>
      </c>
      <c r="J12" s="1">
        <v>45417</v>
      </c>
      <c r="K12" t="s">
        <v>279</v>
      </c>
      <c r="L12" s="1">
        <v>45412</v>
      </c>
      <c r="M12" t="s">
        <v>311</v>
      </c>
    </row>
    <row r="13" spans="1:13" x14ac:dyDescent="0.3">
      <c r="A13" t="s">
        <v>312</v>
      </c>
      <c r="B13" t="s">
        <v>194</v>
      </c>
      <c r="C13" t="s">
        <v>82</v>
      </c>
      <c r="D13" t="s">
        <v>313</v>
      </c>
      <c r="E13" t="s">
        <v>114</v>
      </c>
      <c r="F13" t="s">
        <v>314</v>
      </c>
      <c r="G13" t="s">
        <v>37</v>
      </c>
      <c r="H13" s="1">
        <v>45392</v>
      </c>
      <c r="I13" s="16">
        <f ca="1">IF(AUDIT_FINDINGS[[#This Row],[RemediationStatus]]="Closed",AUDIT_FINDINGS[[#This Row],[DateClosed]]-AUDIT_FINDINGS[[#This Row],[DateIdentified]],TODAY()-AUDIT_FINDINGS[[#This Row],[DateIdentified]])</f>
        <v>26</v>
      </c>
      <c r="J13" s="1">
        <v>45422</v>
      </c>
      <c r="K13" t="s">
        <v>279</v>
      </c>
      <c r="L13" s="1">
        <v>45418</v>
      </c>
      <c r="M13" t="s">
        <v>311</v>
      </c>
    </row>
    <row r="14" spans="1:13" x14ac:dyDescent="0.3">
      <c r="A14" t="s">
        <v>315</v>
      </c>
      <c r="B14" t="s">
        <v>160</v>
      </c>
      <c r="C14" t="s">
        <v>81</v>
      </c>
      <c r="D14" t="s">
        <v>316</v>
      </c>
      <c r="E14" t="s">
        <v>13</v>
      </c>
      <c r="F14" t="s">
        <v>317</v>
      </c>
      <c r="G14" t="s">
        <v>12</v>
      </c>
      <c r="H14" s="1">
        <v>45397</v>
      </c>
      <c r="I14" s="16">
        <f ca="1">IF(AUDIT_FINDINGS[[#This Row],[RemediationStatus]]="Closed",AUDIT_FINDINGS[[#This Row],[DateClosed]]-AUDIT_FINDINGS[[#This Row],[DateIdentified]],TODAY()-AUDIT_FINDINGS[[#This Row],[DateIdentified]])</f>
        <v>27</v>
      </c>
      <c r="J14" s="1">
        <v>45427</v>
      </c>
      <c r="K14" t="s">
        <v>279</v>
      </c>
      <c r="L14" s="1">
        <v>45424</v>
      </c>
      <c r="M14" t="s">
        <v>311</v>
      </c>
    </row>
    <row r="15" spans="1:13" x14ac:dyDescent="0.3">
      <c r="A15" t="s">
        <v>318</v>
      </c>
      <c r="B15" t="s">
        <v>175</v>
      </c>
      <c r="C15" t="s">
        <v>79</v>
      </c>
      <c r="D15" t="s">
        <v>319</v>
      </c>
      <c r="E15" t="s">
        <v>114</v>
      </c>
      <c r="F15" t="s">
        <v>320</v>
      </c>
      <c r="G15" t="s">
        <v>22</v>
      </c>
      <c r="H15" s="1">
        <v>45402</v>
      </c>
      <c r="I15" s="16">
        <f ca="1">IF(AUDIT_FINDINGS[[#This Row],[RemediationStatus]]="Closed",AUDIT_FINDINGS[[#This Row],[DateClosed]]-AUDIT_FINDINGS[[#This Row],[DateIdentified]],TODAY()-AUDIT_FINDINGS[[#This Row],[DateIdentified]])</f>
        <v>749</v>
      </c>
      <c r="J15" s="1">
        <v>45432</v>
      </c>
      <c r="K15" t="s">
        <v>321</v>
      </c>
      <c r="M15" t="s">
        <v>311</v>
      </c>
    </row>
    <row r="16" spans="1:13" x14ac:dyDescent="0.3">
      <c r="A16" t="s">
        <v>322</v>
      </c>
      <c r="B16" t="s">
        <v>260</v>
      </c>
      <c r="C16" t="s">
        <v>68</v>
      </c>
      <c r="D16" t="s">
        <v>323</v>
      </c>
      <c r="E16" t="s">
        <v>114</v>
      </c>
      <c r="F16" t="s">
        <v>324</v>
      </c>
      <c r="G16" t="s">
        <v>12</v>
      </c>
      <c r="H16" s="1">
        <v>45407</v>
      </c>
      <c r="I16" s="16">
        <f ca="1">IF(AUDIT_FINDINGS[[#This Row],[RemediationStatus]]="Closed",AUDIT_FINDINGS[[#This Row],[DateClosed]]-AUDIT_FINDINGS[[#This Row],[DateIdentified]],TODAY()-AUDIT_FINDINGS[[#This Row],[DateIdentified]])</f>
        <v>744</v>
      </c>
      <c r="J16" s="1">
        <v>45437</v>
      </c>
      <c r="K16" t="s">
        <v>321</v>
      </c>
      <c r="M16" t="s">
        <v>311</v>
      </c>
    </row>
    <row r="17" spans="1:13" x14ac:dyDescent="0.3">
      <c r="A17" t="s">
        <v>325</v>
      </c>
      <c r="B17" t="s">
        <v>224</v>
      </c>
      <c r="C17" t="s">
        <v>85</v>
      </c>
      <c r="D17" t="s">
        <v>326</v>
      </c>
      <c r="E17" t="s">
        <v>114</v>
      </c>
      <c r="F17" t="s">
        <v>327</v>
      </c>
      <c r="G17" t="s">
        <v>25</v>
      </c>
      <c r="H17" s="1">
        <v>45413</v>
      </c>
      <c r="I17" s="16">
        <f ca="1">IF(AUDIT_FINDINGS[[#This Row],[RemediationStatus]]="Closed",AUDIT_FINDINGS[[#This Row],[DateClosed]]-AUDIT_FINDINGS[[#This Row],[DateIdentified]],TODAY()-AUDIT_FINDINGS[[#This Row],[DateIdentified]])</f>
        <v>738</v>
      </c>
      <c r="J17" s="1">
        <v>45444</v>
      </c>
      <c r="K17" t="s">
        <v>321</v>
      </c>
      <c r="M17" t="s">
        <v>311</v>
      </c>
    </row>
    <row r="18" spans="1:13" x14ac:dyDescent="0.3">
      <c r="A18" t="s">
        <v>328</v>
      </c>
      <c r="B18" t="s">
        <v>150</v>
      </c>
      <c r="C18" t="s">
        <v>66</v>
      </c>
      <c r="D18" t="s">
        <v>329</v>
      </c>
      <c r="E18" t="s">
        <v>26</v>
      </c>
      <c r="F18" t="s">
        <v>330</v>
      </c>
      <c r="G18" t="s">
        <v>18</v>
      </c>
      <c r="H18" s="1">
        <v>45417</v>
      </c>
      <c r="I18" s="16">
        <f ca="1">IF(AUDIT_FINDINGS[[#This Row],[RemediationStatus]]="Closed",AUDIT_FINDINGS[[#This Row],[DateClosed]]-AUDIT_FINDINGS[[#This Row],[DateIdentified]],TODAY()-AUDIT_FINDINGS[[#This Row],[DateIdentified]])</f>
        <v>734</v>
      </c>
      <c r="J18" s="1">
        <v>45448</v>
      </c>
      <c r="K18" t="s">
        <v>321</v>
      </c>
      <c r="M18" t="s">
        <v>311</v>
      </c>
    </row>
    <row r="19" spans="1:13" x14ac:dyDescent="0.3">
      <c r="A19" t="s">
        <v>331</v>
      </c>
      <c r="B19" t="s">
        <v>120</v>
      </c>
      <c r="C19" t="s">
        <v>79</v>
      </c>
      <c r="D19" t="s">
        <v>332</v>
      </c>
      <c r="E19" t="s">
        <v>13</v>
      </c>
      <c r="F19" t="s">
        <v>333</v>
      </c>
      <c r="G19" t="s">
        <v>22</v>
      </c>
      <c r="H19" s="1">
        <v>45422</v>
      </c>
      <c r="I19" s="16">
        <f ca="1">IF(AUDIT_FINDINGS[[#This Row],[RemediationStatus]]="Closed",AUDIT_FINDINGS[[#This Row],[DateClosed]]-AUDIT_FINDINGS[[#This Row],[DateIdentified]],TODAY()-AUDIT_FINDINGS[[#This Row],[DateIdentified]])</f>
        <v>729</v>
      </c>
      <c r="J19" s="1">
        <v>45453</v>
      </c>
      <c r="K19" t="s">
        <v>321</v>
      </c>
      <c r="M19" t="s">
        <v>311</v>
      </c>
    </row>
    <row r="20" spans="1:13" x14ac:dyDescent="0.3">
      <c r="A20" t="s">
        <v>334</v>
      </c>
      <c r="B20" t="s">
        <v>169</v>
      </c>
      <c r="C20" t="s">
        <v>72</v>
      </c>
      <c r="D20" t="s">
        <v>335</v>
      </c>
      <c r="E20" t="s">
        <v>114</v>
      </c>
      <c r="F20" t="s">
        <v>336</v>
      </c>
      <c r="G20" t="s">
        <v>25</v>
      </c>
      <c r="H20" s="1">
        <v>45427</v>
      </c>
      <c r="I20" s="16">
        <f ca="1">IF(AUDIT_FINDINGS[[#This Row],[RemediationStatus]]="Closed",AUDIT_FINDINGS[[#This Row],[DateClosed]]-AUDIT_FINDINGS[[#This Row],[DateIdentified]],TODAY()-AUDIT_FINDINGS[[#This Row],[DateIdentified]])</f>
        <v>724</v>
      </c>
      <c r="J20" s="1">
        <v>45458</v>
      </c>
      <c r="K20" t="s">
        <v>337</v>
      </c>
      <c r="M20" t="s">
        <v>311</v>
      </c>
    </row>
    <row r="21" spans="1:13" x14ac:dyDescent="0.3">
      <c r="A21" t="s">
        <v>338</v>
      </c>
      <c r="B21" t="s">
        <v>263</v>
      </c>
      <c r="C21" t="s">
        <v>65</v>
      </c>
      <c r="D21" t="s">
        <v>339</v>
      </c>
      <c r="E21" t="s">
        <v>114</v>
      </c>
      <c r="F21" t="s">
        <v>340</v>
      </c>
      <c r="G21" t="s">
        <v>18</v>
      </c>
      <c r="H21" s="1">
        <v>45432</v>
      </c>
      <c r="I21" s="16">
        <f ca="1">IF(AUDIT_FINDINGS[[#This Row],[RemediationStatus]]="Closed",AUDIT_FINDINGS[[#This Row],[DateClosed]]-AUDIT_FINDINGS[[#This Row],[DateIdentified]],TODAY()-AUDIT_FINDINGS[[#This Row],[DateIdentified]])</f>
        <v>719</v>
      </c>
      <c r="J21" s="1">
        <v>45463</v>
      </c>
      <c r="K21" t="s">
        <v>337</v>
      </c>
      <c r="M21" t="s">
        <v>311</v>
      </c>
    </row>
    <row r="22" spans="1:13" x14ac:dyDescent="0.3">
      <c r="A22" t="s">
        <v>341</v>
      </c>
      <c r="B22" t="s">
        <v>111</v>
      </c>
      <c r="C22" t="s">
        <v>79</v>
      </c>
      <c r="D22" t="s">
        <v>342</v>
      </c>
      <c r="E22" t="s">
        <v>13</v>
      </c>
      <c r="F22" t="s">
        <v>343</v>
      </c>
      <c r="G22" t="s">
        <v>22</v>
      </c>
      <c r="H22" s="1">
        <v>45434</v>
      </c>
      <c r="I22" s="16">
        <f ca="1">IF(AUDIT_FINDINGS[[#This Row],[RemediationStatus]]="Closed",AUDIT_FINDINGS[[#This Row],[DateClosed]]-AUDIT_FINDINGS[[#This Row],[DateIdentified]],TODAY()-AUDIT_FINDINGS[[#This Row],[DateIdentified]])</f>
        <v>717</v>
      </c>
      <c r="J22" s="1">
        <v>45465</v>
      </c>
      <c r="K22" t="s">
        <v>337</v>
      </c>
      <c r="M22" t="s">
        <v>311</v>
      </c>
    </row>
    <row r="23" spans="1:13" x14ac:dyDescent="0.3">
      <c r="A23" t="s">
        <v>344</v>
      </c>
      <c r="B23" t="s">
        <v>197</v>
      </c>
      <c r="C23" t="s">
        <v>81</v>
      </c>
      <c r="D23" t="s">
        <v>345</v>
      </c>
      <c r="E23" t="s">
        <v>114</v>
      </c>
      <c r="F23" t="s">
        <v>346</v>
      </c>
      <c r="G23" t="s">
        <v>25</v>
      </c>
      <c r="H23" s="1">
        <v>45437</v>
      </c>
      <c r="I23" s="16">
        <f ca="1">IF(AUDIT_FINDINGS[[#This Row],[RemediationStatus]]="Closed",AUDIT_FINDINGS[[#This Row],[DateClosed]]-AUDIT_FINDINGS[[#This Row],[DateIdentified]],TODAY()-AUDIT_FINDINGS[[#This Row],[DateIdentified]])</f>
        <v>714</v>
      </c>
      <c r="J23" s="1">
        <v>45468</v>
      </c>
      <c r="K23" t="s">
        <v>337</v>
      </c>
      <c r="M23" t="s">
        <v>311</v>
      </c>
    </row>
    <row r="24" spans="1:13" x14ac:dyDescent="0.3">
      <c r="A24" t="s">
        <v>347</v>
      </c>
      <c r="B24" t="s">
        <v>115</v>
      </c>
      <c r="C24" t="s">
        <v>79</v>
      </c>
      <c r="D24" t="s">
        <v>348</v>
      </c>
      <c r="E24" t="s">
        <v>13</v>
      </c>
      <c r="F24" t="s">
        <v>349</v>
      </c>
      <c r="G24" t="s">
        <v>12</v>
      </c>
      <c r="H24" s="1">
        <v>45444</v>
      </c>
      <c r="I24" s="16">
        <f ca="1">IF(AUDIT_FINDINGS[[#This Row],[RemediationStatus]]="Closed",AUDIT_FINDINGS[[#This Row],[DateClosed]]-AUDIT_FINDINGS[[#This Row],[DateIdentified]],TODAY()-AUDIT_FINDINGS[[#This Row],[DateIdentified]])</f>
        <v>707</v>
      </c>
      <c r="J24" s="1">
        <v>45474</v>
      </c>
      <c r="K24" t="s">
        <v>337</v>
      </c>
      <c r="M24" t="s">
        <v>311</v>
      </c>
    </row>
    <row r="25" spans="1:13" x14ac:dyDescent="0.3">
      <c r="A25" t="s">
        <v>350</v>
      </c>
      <c r="B25" t="s">
        <v>144</v>
      </c>
      <c r="C25" t="s">
        <v>83</v>
      </c>
      <c r="D25" t="s">
        <v>351</v>
      </c>
      <c r="E25" t="s">
        <v>114</v>
      </c>
      <c r="F25" t="s">
        <v>352</v>
      </c>
      <c r="G25" t="s">
        <v>22</v>
      </c>
      <c r="H25" s="1">
        <v>45448</v>
      </c>
      <c r="I25" s="16">
        <f ca="1">IF(AUDIT_FINDINGS[[#This Row],[RemediationStatus]]="Closed",AUDIT_FINDINGS[[#This Row],[DateClosed]]-AUDIT_FINDINGS[[#This Row],[DateIdentified]],TODAY()-AUDIT_FINDINGS[[#This Row],[DateIdentified]])</f>
        <v>703</v>
      </c>
      <c r="J25" s="1">
        <v>45478</v>
      </c>
      <c r="K25" t="s">
        <v>337</v>
      </c>
      <c r="M25" t="s">
        <v>311</v>
      </c>
    </row>
    <row r="26" spans="1:13" x14ac:dyDescent="0.3">
      <c r="A26" t="s">
        <v>353</v>
      </c>
      <c r="B26" t="s">
        <v>123</v>
      </c>
      <c r="C26" t="s">
        <v>79</v>
      </c>
      <c r="D26" t="s">
        <v>354</v>
      </c>
      <c r="E26" t="s">
        <v>114</v>
      </c>
      <c r="F26" t="s">
        <v>355</v>
      </c>
      <c r="G26" t="s">
        <v>22</v>
      </c>
      <c r="H26" s="1">
        <v>45451</v>
      </c>
      <c r="I26" s="16">
        <f ca="1">IF(AUDIT_FINDINGS[[#This Row],[RemediationStatus]]="Closed",AUDIT_FINDINGS[[#This Row],[DateClosed]]-AUDIT_FINDINGS[[#This Row],[DateIdentified]],TODAY()-AUDIT_FINDINGS[[#This Row],[DateIdentified]])</f>
        <v>700</v>
      </c>
      <c r="J26" s="1">
        <v>45481</v>
      </c>
      <c r="K26" t="s">
        <v>337</v>
      </c>
      <c r="M26" t="s">
        <v>311</v>
      </c>
    </row>
    <row r="27" spans="1:13" x14ac:dyDescent="0.3">
      <c r="A27" t="s">
        <v>356</v>
      </c>
      <c r="B27" t="s">
        <v>163</v>
      </c>
      <c r="C27" t="s">
        <v>81</v>
      </c>
      <c r="D27" t="s">
        <v>357</v>
      </c>
      <c r="E27" t="s">
        <v>13</v>
      </c>
      <c r="F27" t="s">
        <v>358</v>
      </c>
      <c r="G27" t="s">
        <v>12</v>
      </c>
      <c r="H27" s="1">
        <v>45453</v>
      </c>
      <c r="I27" s="16">
        <f ca="1">IF(AUDIT_FINDINGS[[#This Row],[RemediationStatus]]="Closed",AUDIT_FINDINGS[[#This Row],[DateClosed]]-AUDIT_FINDINGS[[#This Row],[DateIdentified]],TODAY()-AUDIT_FINDINGS[[#This Row],[DateIdentified]])</f>
        <v>698</v>
      </c>
      <c r="J27" s="1">
        <v>45483</v>
      </c>
      <c r="K27" t="s">
        <v>337</v>
      </c>
      <c r="M27" t="s">
        <v>311</v>
      </c>
    </row>
    <row r="28" spans="1:13" x14ac:dyDescent="0.3">
      <c r="A28" t="s">
        <v>359</v>
      </c>
      <c r="B28" t="s">
        <v>156</v>
      </c>
      <c r="C28" t="s">
        <v>72</v>
      </c>
      <c r="D28" t="s">
        <v>360</v>
      </c>
      <c r="E28" t="s">
        <v>13</v>
      </c>
      <c r="F28" t="s">
        <v>361</v>
      </c>
      <c r="G28" t="s">
        <v>12</v>
      </c>
      <c r="H28" s="1">
        <v>45455</v>
      </c>
      <c r="I28" s="16">
        <f ca="1">IF(AUDIT_FINDINGS[[#This Row],[RemediationStatus]]="Closed",AUDIT_FINDINGS[[#This Row],[DateClosed]]-AUDIT_FINDINGS[[#This Row],[DateIdentified]],TODAY()-AUDIT_FINDINGS[[#This Row],[DateIdentified]])</f>
        <v>696</v>
      </c>
      <c r="J28" s="1">
        <v>45485</v>
      </c>
      <c r="K28" t="s">
        <v>337</v>
      </c>
      <c r="M28" t="s">
        <v>311</v>
      </c>
    </row>
    <row r="29" spans="1:13" x14ac:dyDescent="0.3">
      <c r="A29" t="s">
        <v>362</v>
      </c>
      <c r="B29" t="s">
        <v>230</v>
      </c>
      <c r="C29" t="s">
        <v>76</v>
      </c>
      <c r="D29" t="s">
        <v>363</v>
      </c>
      <c r="E29" t="s">
        <v>13</v>
      </c>
      <c r="F29" t="s">
        <v>364</v>
      </c>
      <c r="G29" t="s">
        <v>18</v>
      </c>
      <c r="H29" s="1">
        <v>45457</v>
      </c>
      <c r="I29" s="16">
        <f ca="1">IF(AUDIT_FINDINGS[[#This Row],[RemediationStatus]]="Closed",AUDIT_FINDINGS[[#This Row],[DateClosed]]-AUDIT_FINDINGS[[#This Row],[DateIdentified]],TODAY()-AUDIT_FINDINGS[[#This Row],[DateIdentified]])</f>
        <v>694</v>
      </c>
      <c r="J29" s="1">
        <v>45487</v>
      </c>
      <c r="K29" t="s">
        <v>337</v>
      </c>
      <c r="M29" t="s">
        <v>311</v>
      </c>
    </row>
    <row r="30" spans="1:13" x14ac:dyDescent="0.3">
      <c r="A30" t="s">
        <v>365</v>
      </c>
      <c r="B30" t="s">
        <v>181</v>
      </c>
      <c r="C30" t="s">
        <v>79</v>
      </c>
      <c r="D30" t="s">
        <v>366</v>
      </c>
      <c r="E30" t="s">
        <v>13</v>
      </c>
      <c r="F30" t="s">
        <v>367</v>
      </c>
      <c r="G30" t="s">
        <v>22</v>
      </c>
      <c r="H30" s="1">
        <v>45458</v>
      </c>
      <c r="I30" s="16">
        <f ca="1">IF(AUDIT_FINDINGS[[#This Row],[RemediationStatus]]="Closed",AUDIT_FINDINGS[[#This Row],[DateClosed]]-AUDIT_FINDINGS[[#This Row],[DateIdentified]],TODAY()-AUDIT_FINDINGS[[#This Row],[DateIdentified]])</f>
        <v>693</v>
      </c>
      <c r="J30" s="1">
        <v>45488</v>
      </c>
      <c r="K30" t="s">
        <v>337</v>
      </c>
      <c r="M30" t="s">
        <v>311</v>
      </c>
    </row>
    <row r="31" spans="1:13" x14ac:dyDescent="0.3">
      <c r="A31" t="s">
        <v>368</v>
      </c>
      <c r="B31" t="s">
        <v>135</v>
      </c>
      <c r="C31" t="s">
        <v>66</v>
      </c>
      <c r="D31" t="s">
        <v>369</v>
      </c>
      <c r="E31" t="s">
        <v>13</v>
      </c>
      <c r="F31" t="s">
        <v>370</v>
      </c>
      <c r="G31" t="s">
        <v>22</v>
      </c>
      <c r="H31" s="1">
        <v>45461</v>
      </c>
      <c r="I31" s="16">
        <f ca="1">IF(AUDIT_FINDINGS[[#This Row],[RemediationStatus]]="Closed",AUDIT_FINDINGS[[#This Row],[DateClosed]]-AUDIT_FINDINGS[[#This Row],[DateIdentified]],TODAY()-AUDIT_FINDINGS[[#This Row],[DateIdentified]])</f>
        <v>690</v>
      </c>
      <c r="J31" s="1">
        <v>45491</v>
      </c>
      <c r="K31" t="s">
        <v>337</v>
      </c>
      <c r="M31" t="s">
        <v>311</v>
      </c>
    </row>
    <row r="32" spans="1:13" x14ac:dyDescent="0.3">
      <c r="A32" t="s">
        <v>371</v>
      </c>
      <c r="B32" t="s">
        <v>172</v>
      </c>
      <c r="C32" t="s">
        <v>81</v>
      </c>
      <c r="D32" t="s">
        <v>372</v>
      </c>
      <c r="E32" t="s">
        <v>26</v>
      </c>
      <c r="F32" t="s">
        <v>373</v>
      </c>
      <c r="G32" t="s">
        <v>12</v>
      </c>
      <c r="H32" s="1">
        <v>45462</v>
      </c>
      <c r="I32" s="16">
        <f ca="1">IF(AUDIT_FINDINGS[[#This Row],[RemediationStatus]]="Closed",AUDIT_FINDINGS[[#This Row],[DateClosed]]-AUDIT_FINDINGS[[#This Row],[DateIdentified]],TODAY()-AUDIT_FINDINGS[[#This Row],[DateIdentified]])</f>
        <v>689</v>
      </c>
      <c r="J32" s="1">
        <v>45492</v>
      </c>
      <c r="K32" t="s">
        <v>337</v>
      </c>
      <c r="M32" t="s">
        <v>311</v>
      </c>
    </row>
    <row r="33" spans="1:13" x14ac:dyDescent="0.3">
      <c r="A33" t="s">
        <v>374</v>
      </c>
      <c r="B33" t="s">
        <v>233</v>
      </c>
      <c r="C33" t="s">
        <v>65</v>
      </c>
      <c r="D33" t="s">
        <v>375</v>
      </c>
      <c r="E33" t="s">
        <v>26</v>
      </c>
      <c r="F33" t="s">
        <v>376</v>
      </c>
      <c r="G33" t="s">
        <v>18</v>
      </c>
      <c r="H33" s="1">
        <v>45463</v>
      </c>
      <c r="I33" s="16">
        <f ca="1">IF(AUDIT_FINDINGS[[#This Row],[RemediationStatus]]="Closed",AUDIT_FINDINGS[[#This Row],[DateClosed]]-AUDIT_FINDINGS[[#This Row],[DateIdentified]],TODAY()-AUDIT_FINDINGS[[#This Row],[DateIdentified]])</f>
        <v>688</v>
      </c>
      <c r="J33" s="1">
        <v>45493</v>
      </c>
      <c r="K33" t="s">
        <v>337</v>
      </c>
      <c r="M33" t="s">
        <v>311</v>
      </c>
    </row>
    <row r="34" spans="1:13" x14ac:dyDescent="0.3">
      <c r="A34" t="s">
        <v>377</v>
      </c>
      <c r="B34" t="s">
        <v>127</v>
      </c>
      <c r="C34" t="s">
        <v>66</v>
      </c>
      <c r="D34" t="s">
        <v>378</v>
      </c>
      <c r="E34" t="s">
        <v>26</v>
      </c>
      <c r="F34" t="s">
        <v>379</v>
      </c>
      <c r="G34" t="s">
        <v>18</v>
      </c>
      <c r="H34" s="1">
        <v>45464</v>
      </c>
      <c r="I34" s="16">
        <f ca="1">IF(AUDIT_FINDINGS[[#This Row],[RemediationStatus]]="Closed",AUDIT_FINDINGS[[#This Row],[DateClosed]]-AUDIT_FINDINGS[[#This Row],[DateIdentified]],TODAY()-AUDIT_FINDINGS[[#This Row],[DateIdentified]])</f>
        <v>687</v>
      </c>
      <c r="J34" s="1">
        <v>45494</v>
      </c>
      <c r="K34" t="s">
        <v>337</v>
      </c>
      <c r="M34" t="s">
        <v>311</v>
      </c>
    </row>
    <row r="35" spans="1:13" x14ac:dyDescent="0.3">
      <c r="A35" t="s">
        <v>380</v>
      </c>
      <c r="B35" t="s">
        <v>166</v>
      </c>
      <c r="C35" t="s">
        <v>72</v>
      </c>
      <c r="D35" t="s">
        <v>381</v>
      </c>
      <c r="E35" t="s">
        <v>26</v>
      </c>
      <c r="F35" t="s">
        <v>382</v>
      </c>
      <c r="G35" t="s">
        <v>12</v>
      </c>
      <c r="H35" s="1">
        <v>45465</v>
      </c>
      <c r="I35" s="16">
        <f ca="1">IF(AUDIT_FINDINGS[[#This Row],[RemediationStatus]]="Closed",AUDIT_FINDINGS[[#This Row],[DateClosed]]-AUDIT_FINDINGS[[#This Row],[DateIdentified]],TODAY()-AUDIT_FINDINGS[[#This Row],[DateIdentified]])</f>
        <v>686</v>
      </c>
      <c r="J35" s="1">
        <v>45495</v>
      </c>
      <c r="K35" t="s">
        <v>337</v>
      </c>
      <c r="M35" t="s">
        <v>311</v>
      </c>
    </row>
    <row r="36" spans="1:13" x14ac:dyDescent="0.3">
      <c r="A36" t="s">
        <v>383</v>
      </c>
      <c r="B36" t="s">
        <v>209</v>
      </c>
      <c r="C36" t="s">
        <v>71</v>
      </c>
      <c r="D36" t="s">
        <v>384</v>
      </c>
      <c r="E36" t="s">
        <v>26</v>
      </c>
      <c r="F36" t="s">
        <v>385</v>
      </c>
      <c r="G36" t="s">
        <v>22</v>
      </c>
      <c r="H36" s="1">
        <v>45466</v>
      </c>
      <c r="I36" s="16">
        <f ca="1">IF(AUDIT_FINDINGS[[#This Row],[RemediationStatus]]="Closed",AUDIT_FINDINGS[[#This Row],[DateClosed]]-AUDIT_FINDINGS[[#This Row],[DateIdentified]],TODAY()-AUDIT_FINDINGS[[#This Row],[DateIdentified]])</f>
        <v>685</v>
      </c>
      <c r="J36" s="1">
        <v>45496</v>
      </c>
      <c r="K36" t="s">
        <v>337</v>
      </c>
      <c r="M36" t="s">
        <v>311</v>
      </c>
    </row>
    <row r="37" spans="1:13" x14ac:dyDescent="0.3">
      <c r="A37" t="s">
        <v>386</v>
      </c>
      <c r="B37" t="s">
        <v>184</v>
      </c>
      <c r="C37" t="s">
        <v>73</v>
      </c>
      <c r="D37" t="s">
        <v>387</v>
      </c>
      <c r="E37" t="s">
        <v>13</v>
      </c>
      <c r="F37" t="s">
        <v>388</v>
      </c>
      <c r="G37" t="s">
        <v>22</v>
      </c>
      <c r="H37" s="1">
        <v>45467</v>
      </c>
      <c r="I37" s="16">
        <f ca="1">IF(AUDIT_FINDINGS[[#This Row],[RemediationStatus]]="Closed",AUDIT_FINDINGS[[#This Row],[DateClosed]]-AUDIT_FINDINGS[[#This Row],[DateIdentified]],TODAY()-AUDIT_FINDINGS[[#This Row],[DateIdentified]])</f>
        <v>684</v>
      </c>
      <c r="J37" s="1">
        <v>45497</v>
      </c>
      <c r="K37" t="s">
        <v>337</v>
      </c>
      <c r="M37" t="s">
        <v>311</v>
      </c>
    </row>
    <row r="38" spans="1:13" x14ac:dyDescent="0.3">
      <c r="A38" t="s">
        <v>389</v>
      </c>
      <c r="B38" t="s">
        <v>150</v>
      </c>
      <c r="C38" t="s">
        <v>66</v>
      </c>
      <c r="D38" t="s">
        <v>390</v>
      </c>
      <c r="E38" t="s">
        <v>26</v>
      </c>
      <c r="F38" t="s">
        <v>391</v>
      </c>
      <c r="G38" t="s">
        <v>18</v>
      </c>
      <c r="H38" s="1">
        <v>45468</v>
      </c>
      <c r="I38" s="16">
        <f ca="1">IF(AUDIT_FINDINGS[[#This Row],[RemediationStatus]]="Closed",AUDIT_FINDINGS[[#This Row],[DateClosed]]-AUDIT_FINDINGS[[#This Row],[DateIdentified]],TODAY()-AUDIT_FINDINGS[[#This Row],[DateIdentified]])</f>
        <v>683</v>
      </c>
      <c r="J38" s="1">
        <v>45498</v>
      </c>
      <c r="K38" t="s">
        <v>337</v>
      </c>
      <c r="M38" t="s">
        <v>311</v>
      </c>
    </row>
    <row r="39" spans="1:13" x14ac:dyDescent="0.3">
      <c r="A39" t="s">
        <v>392</v>
      </c>
      <c r="B39" t="s">
        <v>254</v>
      </c>
      <c r="C39" t="s">
        <v>79</v>
      </c>
      <c r="D39" t="s">
        <v>393</v>
      </c>
      <c r="E39" t="s">
        <v>13</v>
      </c>
      <c r="F39" t="s">
        <v>394</v>
      </c>
      <c r="G39" t="s">
        <v>22</v>
      </c>
      <c r="H39" s="1">
        <v>45469</v>
      </c>
      <c r="I39" s="16">
        <f ca="1">IF(AUDIT_FINDINGS[[#This Row],[RemediationStatus]]="Closed",AUDIT_FINDINGS[[#This Row],[DateClosed]]-AUDIT_FINDINGS[[#This Row],[DateIdentified]],TODAY()-AUDIT_FINDINGS[[#This Row],[DateIdentified]])</f>
        <v>682</v>
      </c>
      <c r="J39" s="1">
        <v>45499</v>
      </c>
      <c r="K39" t="s">
        <v>337</v>
      </c>
      <c r="M39" t="s">
        <v>311</v>
      </c>
    </row>
    <row r="40" spans="1:13" x14ac:dyDescent="0.3">
      <c r="A40" t="s">
        <v>395</v>
      </c>
      <c r="B40" t="s">
        <v>212</v>
      </c>
      <c r="C40" t="s">
        <v>71</v>
      </c>
      <c r="D40" t="s">
        <v>396</v>
      </c>
      <c r="E40" t="s">
        <v>114</v>
      </c>
      <c r="F40" t="s">
        <v>397</v>
      </c>
      <c r="G40" t="s">
        <v>22</v>
      </c>
      <c r="H40" s="1">
        <v>45470</v>
      </c>
      <c r="I40" s="16">
        <f ca="1">IF(AUDIT_FINDINGS[[#This Row],[RemediationStatus]]="Closed",AUDIT_FINDINGS[[#This Row],[DateClosed]]-AUDIT_FINDINGS[[#This Row],[DateIdentified]],TODAY()-AUDIT_FINDINGS[[#This Row],[DateIdentified]])</f>
        <v>681</v>
      </c>
      <c r="J40" s="1">
        <v>45500</v>
      </c>
      <c r="K40" t="s">
        <v>337</v>
      </c>
      <c r="M40" t="s">
        <v>311</v>
      </c>
    </row>
    <row r="41" spans="1:13" x14ac:dyDescent="0.3">
      <c r="A41" t="s">
        <v>398</v>
      </c>
      <c r="B41" t="s">
        <v>263</v>
      </c>
      <c r="C41" t="s">
        <v>84</v>
      </c>
      <c r="D41" t="s">
        <v>399</v>
      </c>
      <c r="E41" t="s">
        <v>13</v>
      </c>
      <c r="F41" t="s">
        <v>400</v>
      </c>
      <c r="G41" t="s">
        <v>18</v>
      </c>
      <c r="H41" s="1">
        <v>45471</v>
      </c>
      <c r="I41" s="16">
        <f ca="1">IF(AUDIT_FINDINGS[[#This Row],[RemediationStatus]]="Closed",AUDIT_FINDINGS[[#This Row],[DateClosed]]-AUDIT_FINDINGS[[#This Row],[DateIdentified]],TODAY()-AUDIT_FINDINGS[[#This Row],[DateIdentified]])</f>
        <v>680</v>
      </c>
      <c r="J41" s="1">
        <v>45501</v>
      </c>
      <c r="K41" t="s">
        <v>337</v>
      </c>
      <c r="M41" t="s">
        <v>311</v>
      </c>
    </row>
  </sheetData>
  <conditionalFormatting sqref="E2:E41">
    <cfRule type="cellIs" dxfId="13" priority="8" operator="equal">
      <formula>"Critical"</formula>
    </cfRule>
    <cfRule type="cellIs" dxfId="12" priority="7" operator="equal">
      <formula>"High"</formula>
    </cfRule>
  </conditionalFormatting>
  <conditionalFormatting sqref="E1:E1048576">
    <cfRule type="cellIs" dxfId="7" priority="6" operator="equal">
      <formula>"Medium"</formula>
    </cfRule>
    <cfRule type="cellIs" dxfId="8" priority="5" operator="equal">
      <formula>"Low"</formula>
    </cfRule>
    <cfRule type="cellIs" dxfId="6" priority="1" operator="equal">
      <formula>"High"</formula>
    </cfRule>
  </conditionalFormatting>
  <conditionalFormatting sqref="K1:K1048576">
    <cfRule type="cellIs" dxfId="10" priority="4" operator="equal">
      <formula>"Open"</formula>
    </cfRule>
    <cfRule type="cellIs" dxfId="11" priority="3" operator="equal">
      <formula>"Closed"</formula>
    </cfRule>
    <cfRule type="cellIs" dxfId="9" priority="2" operator="equal">
      <formula>"In Progress"</formula>
    </cfRule>
  </conditionalFormatting>
  <dataValidations count="2">
    <dataValidation type="list" allowBlank="1" showInputMessage="1" showErrorMessage="1" sqref="E1:E1048576" xr:uid="{B2A5D86D-1B3D-49B8-959D-B03F4DB6BB7D}">
      <formula1>"Critical, High, Medium, Low"</formula1>
    </dataValidation>
    <dataValidation type="list" allowBlank="1" showInputMessage="1" showErrorMessage="1" sqref="K1:K1048576" xr:uid="{C992CD8C-050F-462C-A7E6-0F5F44D349A3}">
      <formula1>"Open, In Progress, Closed"</formula1>
    </dataValidation>
  </dataValidations>
  <pageMargins left="0.7" right="0.7" top="0.75" bottom="0.75" header="0.3" footer="0.3"/>
  <headerFooter>
    <oddFooter>&amp;L_x000D_&amp;1#&amp;"Aptos"&amp;10&amp;K000000 Sensitivity: C1-Internal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95820-232B-4219-9FA9-699926238C6E}">
  <dimension ref="A1:J31"/>
  <sheetViews>
    <sheetView workbookViewId="0">
      <pane ySplit="1" topLeftCell="A2" activePane="bottomLeft" state="frozen"/>
      <selection pane="bottomLeft" sqref="A1:XFD1"/>
    </sheetView>
  </sheetViews>
  <sheetFormatPr baseColWidth="10" defaultRowHeight="14.4" x14ac:dyDescent="0.3"/>
  <cols>
    <col min="1" max="1" width="12.77734375" customWidth="1"/>
    <col min="3" max="3" width="16" customWidth="1"/>
    <col min="5" max="5" width="13.5546875" customWidth="1"/>
    <col min="6" max="6" width="12.109375" customWidth="1"/>
    <col min="9" max="9" width="16.33203125" customWidth="1"/>
    <col min="10" max="10" width="14.33203125" customWidth="1"/>
  </cols>
  <sheetData>
    <row r="1" spans="1:10" x14ac:dyDescent="0.3">
      <c r="A1" t="s">
        <v>401</v>
      </c>
      <c r="B1" t="s">
        <v>0</v>
      </c>
      <c r="C1" t="s">
        <v>402</v>
      </c>
      <c r="D1" t="s">
        <v>403</v>
      </c>
      <c r="E1" t="s">
        <v>404</v>
      </c>
      <c r="F1" t="s">
        <v>405</v>
      </c>
      <c r="G1" t="s">
        <v>5</v>
      </c>
      <c r="H1" t="s">
        <v>406</v>
      </c>
      <c r="I1" t="s">
        <v>407</v>
      </c>
      <c r="J1" t="s">
        <v>408</v>
      </c>
    </row>
    <row r="2" spans="1:10" x14ac:dyDescent="0.3">
      <c r="A2" t="s">
        <v>409</v>
      </c>
      <c r="B2" t="s">
        <v>63</v>
      </c>
      <c r="C2" t="s">
        <v>410</v>
      </c>
      <c r="D2" t="s">
        <v>411</v>
      </c>
      <c r="E2" s="1">
        <v>45311</v>
      </c>
      <c r="F2" s="1">
        <v>45311</v>
      </c>
      <c r="G2" t="s">
        <v>14</v>
      </c>
      <c r="H2">
        <v>0</v>
      </c>
      <c r="I2" t="s">
        <v>12</v>
      </c>
      <c r="J2" t="s">
        <v>64</v>
      </c>
    </row>
    <row r="3" spans="1:10" x14ac:dyDescent="0.3">
      <c r="A3" t="s">
        <v>412</v>
      </c>
      <c r="B3" t="s">
        <v>63</v>
      </c>
      <c r="C3" t="s">
        <v>413</v>
      </c>
      <c r="D3" t="s">
        <v>411</v>
      </c>
      <c r="E3" s="1">
        <v>45337</v>
      </c>
      <c r="F3" s="1">
        <v>45340</v>
      </c>
      <c r="G3" t="s">
        <v>14</v>
      </c>
      <c r="H3">
        <v>3</v>
      </c>
      <c r="I3" t="s">
        <v>12</v>
      </c>
      <c r="J3" t="s">
        <v>64</v>
      </c>
    </row>
    <row r="4" spans="1:10" x14ac:dyDescent="0.3">
      <c r="A4" t="s">
        <v>414</v>
      </c>
      <c r="B4" t="s">
        <v>63</v>
      </c>
      <c r="C4" t="s">
        <v>415</v>
      </c>
      <c r="D4" t="s">
        <v>411</v>
      </c>
      <c r="E4" s="1">
        <v>45352</v>
      </c>
      <c r="F4" s="1">
        <v>45361</v>
      </c>
      <c r="G4" t="s">
        <v>14</v>
      </c>
      <c r="H4">
        <v>9</v>
      </c>
      <c r="I4" t="s">
        <v>12</v>
      </c>
      <c r="J4" t="s">
        <v>61</v>
      </c>
    </row>
    <row r="5" spans="1:10" x14ac:dyDescent="0.3">
      <c r="A5" t="s">
        <v>416</v>
      </c>
      <c r="B5" t="s">
        <v>63</v>
      </c>
      <c r="C5" t="s">
        <v>417</v>
      </c>
      <c r="D5" t="s">
        <v>418</v>
      </c>
      <c r="E5" s="1">
        <v>45413</v>
      </c>
      <c r="F5" s="1">
        <v>45432</v>
      </c>
      <c r="G5" t="s">
        <v>14</v>
      </c>
      <c r="H5">
        <v>19</v>
      </c>
      <c r="I5" t="s">
        <v>12</v>
      </c>
      <c r="J5" t="s">
        <v>64</v>
      </c>
    </row>
    <row r="6" spans="1:10" x14ac:dyDescent="0.3">
      <c r="A6" t="s">
        <v>419</v>
      </c>
      <c r="B6" t="s">
        <v>63</v>
      </c>
      <c r="C6" t="s">
        <v>420</v>
      </c>
      <c r="D6" t="s">
        <v>421</v>
      </c>
      <c r="E6" s="1">
        <v>45458</v>
      </c>
      <c r="F6" s="1">
        <v>45475</v>
      </c>
      <c r="G6" t="s">
        <v>14</v>
      </c>
      <c r="H6">
        <v>17</v>
      </c>
      <c r="I6" t="s">
        <v>12</v>
      </c>
      <c r="J6" t="s">
        <v>64</v>
      </c>
    </row>
    <row r="7" spans="1:10" x14ac:dyDescent="0.3">
      <c r="A7" t="s">
        <v>422</v>
      </c>
      <c r="B7" t="s">
        <v>65</v>
      </c>
      <c r="C7" t="s">
        <v>423</v>
      </c>
      <c r="D7" t="s">
        <v>411</v>
      </c>
      <c r="E7" s="1">
        <v>45350</v>
      </c>
      <c r="F7" s="1">
        <v>45356</v>
      </c>
      <c r="G7" t="s">
        <v>14</v>
      </c>
      <c r="H7">
        <v>5</v>
      </c>
      <c r="I7" t="s">
        <v>18</v>
      </c>
      <c r="J7" t="s">
        <v>64</v>
      </c>
    </row>
    <row r="8" spans="1:10" x14ac:dyDescent="0.3">
      <c r="A8" t="s">
        <v>424</v>
      </c>
      <c r="B8" t="s">
        <v>65</v>
      </c>
      <c r="C8" t="s">
        <v>425</v>
      </c>
      <c r="D8" t="s">
        <v>411</v>
      </c>
      <c r="E8" s="1">
        <v>45382</v>
      </c>
      <c r="F8" s="1">
        <v>45392</v>
      </c>
      <c r="G8" t="s">
        <v>14</v>
      </c>
      <c r="H8">
        <v>10</v>
      </c>
      <c r="I8" t="s">
        <v>18</v>
      </c>
      <c r="J8" t="s">
        <v>64</v>
      </c>
    </row>
    <row r="9" spans="1:10" x14ac:dyDescent="0.3">
      <c r="A9" t="s">
        <v>426</v>
      </c>
      <c r="B9" t="s">
        <v>65</v>
      </c>
      <c r="C9" t="s">
        <v>427</v>
      </c>
      <c r="D9" t="s">
        <v>418</v>
      </c>
      <c r="E9" s="1">
        <v>45412</v>
      </c>
      <c r="F9" s="1">
        <v>45427</v>
      </c>
      <c r="G9" t="s">
        <v>14</v>
      </c>
      <c r="H9">
        <v>15</v>
      </c>
      <c r="I9" t="s">
        <v>18</v>
      </c>
      <c r="J9" t="s">
        <v>64</v>
      </c>
    </row>
    <row r="10" spans="1:10" x14ac:dyDescent="0.3">
      <c r="A10" t="s">
        <v>428</v>
      </c>
      <c r="B10" t="s">
        <v>65</v>
      </c>
      <c r="C10" t="s">
        <v>429</v>
      </c>
      <c r="D10" t="s">
        <v>418</v>
      </c>
      <c r="E10" s="1">
        <v>45504</v>
      </c>
      <c r="G10" t="s">
        <v>321</v>
      </c>
      <c r="I10" t="s">
        <v>18</v>
      </c>
      <c r="J10" t="s">
        <v>64</v>
      </c>
    </row>
    <row r="11" spans="1:10" x14ac:dyDescent="0.3">
      <c r="A11" t="s">
        <v>430</v>
      </c>
      <c r="B11" t="s">
        <v>66</v>
      </c>
      <c r="C11" t="s">
        <v>431</v>
      </c>
      <c r="D11" t="s">
        <v>411</v>
      </c>
      <c r="E11" s="1">
        <v>45383</v>
      </c>
      <c r="F11" s="1">
        <v>45387</v>
      </c>
      <c r="G11" t="s">
        <v>14</v>
      </c>
      <c r="H11">
        <v>4</v>
      </c>
      <c r="I11" t="s">
        <v>22</v>
      </c>
      <c r="J11" t="s">
        <v>64</v>
      </c>
    </row>
    <row r="12" spans="1:10" x14ac:dyDescent="0.3">
      <c r="A12" t="s">
        <v>432</v>
      </c>
      <c r="B12" t="s">
        <v>66</v>
      </c>
      <c r="C12" t="s">
        <v>433</v>
      </c>
      <c r="D12" t="s">
        <v>418</v>
      </c>
      <c r="E12" s="1">
        <v>45443</v>
      </c>
      <c r="F12" s="1">
        <v>45453</v>
      </c>
      <c r="G12" t="s">
        <v>14</v>
      </c>
      <c r="H12">
        <v>10</v>
      </c>
      <c r="I12" t="s">
        <v>22</v>
      </c>
      <c r="J12" t="s">
        <v>64</v>
      </c>
    </row>
    <row r="13" spans="1:10" x14ac:dyDescent="0.3">
      <c r="A13" t="s">
        <v>434</v>
      </c>
      <c r="B13" t="s">
        <v>66</v>
      </c>
      <c r="C13" t="s">
        <v>435</v>
      </c>
      <c r="D13" t="s">
        <v>418</v>
      </c>
      <c r="E13" s="1">
        <v>45504</v>
      </c>
      <c r="G13" t="s">
        <v>321</v>
      </c>
      <c r="I13" t="s">
        <v>22</v>
      </c>
      <c r="J13" t="s">
        <v>64</v>
      </c>
    </row>
    <row r="14" spans="1:10" x14ac:dyDescent="0.3">
      <c r="A14" t="s">
        <v>436</v>
      </c>
      <c r="B14" t="s">
        <v>66</v>
      </c>
      <c r="C14" t="s">
        <v>437</v>
      </c>
      <c r="D14" t="s">
        <v>418</v>
      </c>
      <c r="E14" s="1">
        <v>45565</v>
      </c>
      <c r="G14" t="s">
        <v>438</v>
      </c>
      <c r="I14" t="s">
        <v>22</v>
      </c>
      <c r="J14" t="s">
        <v>64</v>
      </c>
    </row>
    <row r="15" spans="1:10" x14ac:dyDescent="0.3">
      <c r="A15" t="s">
        <v>439</v>
      </c>
      <c r="B15" t="s">
        <v>68</v>
      </c>
      <c r="C15" t="s">
        <v>440</v>
      </c>
      <c r="D15" t="s">
        <v>411</v>
      </c>
      <c r="E15" s="1">
        <v>45351</v>
      </c>
      <c r="F15" s="1">
        <v>45359</v>
      </c>
      <c r="G15" t="s">
        <v>14</v>
      </c>
      <c r="H15">
        <v>8</v>
      </c>
      <c r="I15" t="s">
        <v>12</v>
      </c>
      <c r="J15" t="s">
        <v>64</v>
      </c>
    </row>
    <row r="16" spans="1:10" x14ac:dyDescent="0.3">
      <c r="A16" t="s">
        <v>441</v>
      </c>
      <c r="B16" t="s">
        <v>68</v>
      </c>
      <c r="C16" t="s">
        <v>442</v>
      </c>
      <c r="D16" t="s">
        <v>418</v>
      </c>
      <c r="E16" s="1">
        <v>45443</v>
      </c>
      <c r="F16" s="1">
        <v>45463</v>
      </c>
      <c r="G16" t="s">
        <v>14</v>
      </c>
      <c r="H16">
        <v>20</v>
      </c>
      <c r="I16" t="s">
        <v>12</v>
      </c>
      <c r="J16" t="s">
        <v>64</v>
      </c>
    </row>
    <row r="17" spans="1:10" x14ac:dyDescent="0.3">
      <c r="A17" t="s">
        <v>443</v>
      </c>
      <c r="B17" t="s">
        <v>68</v>
      </c>
      <c r="C17" t="s">
        <v>444</v>
      </c>
      <c r="D17" t="s">
        <v>421</v>
      </c>
      <c r="E17" s="1">
        <v>45535</v>
      </c>
      <c r="G17" t="s">
        <v>321</v>
      </c>
      <c r="I17" t="s">
        <v>12</v>
      </c>
      <c r="J17" t="s">
        <v>64</v>
      </c>
    </row>
    <row r="18" spans="1:10" x14ac:dyDescent="0.3">
      <c r="A18" t="s">
        <v>445</v>
      </c>
      <c r="B18" t="s">
        <v>71</v>
      </c>
      <c r="C18" t="s">
        <v>446</v>
      </c>
      <c r="D18" t="s">
        <v>411</v>
      </c>
      <c r="E18" s="1">
        <v>45366</v>
      </c>
      <c r="F18" s="1">
        <v>45366</v>
      </c>
      <c r="G18" t="s">
        <v>14</v>
      </c>
      <c r="H18">
        <v>0</v>
      </c>
      <c r="I18" t="s">
        <v>22</v>
      </c>
      <c r="J18" t="s">
        <v>64</v>
      </c>
    </row>
    <row r="19" spans="1:10" x14ac:dyDescent="0.3">
      <c r="A19" t="s">
        <v>447</v>
      </c>
      <c r="B19" t="s">
        <v>71</v>
      </c>
      <c r="C19" t="s">
        <v>448</v>
      </c>
      <c r="D19" t="s">
        <v>418</v>
      </c>
      <c r="E19" s="1">
        <v>45443</v>
      </c>
      <c r="F19" s="1">
        <v>45448</v>
      </c>
      <c r="G19" t="s">
        <v>14</v>
      </c>
      <c r="H19">
        <v>5</v>
      </c>
      <c r="I19" t="s">
        <v>22</v>
      </c>
      <c r="J19" t="s">
        <v>64</v>
      </c>
    </row>
    <row r="20" spans="1:10" x14ac:dyDescent="0.3">
      <c r="A20" t="s">
        <v>449</v>
      </c>
      <c r="B20" t="s">
        <v>71</v>
      </c>
      <c r="C20" t="s">
        <v>450</v>
      </c>
      <c r="D20" t="s">
        <v>418</v>
      </c>
      <c r="E20" s="1">
        <v>45504</v>
      </c>
      <c r="G20" t="s">
        <v>321</v>
      </c>
      <c r="I20" t="s">
        <v>22</v>
      </c>
      <c r="J20" t="s">
        <v>61</v>
      </c>
    </row>
    <row r="21" spans="1:10" x14ac:dyDescent="0.3">
      <c r="A21" t="s">
        <v>451</v>
      </c>
      <c r="B21" t="s">
        <v>72</v>
      </c>
      <c r="C21" t="s">
        <v>452</v>
      </c>
      <c r="D21" t="s">
        <v>411</v>
      </c>
      <c r="E21" s="1">
        <v>45383</v>
      </c>
      <c r="F21" s="1">
        <v>45397</v>
      </c>
      <c r="G21" t="s">
        <v>14</v>
      </c>
      <c r="H21">
        <v>14</v>
      </c>
      <c r="I21" t="s">
        <v>25</v>
      </c>
      <c r="J21" t="s">
        <v>64</v>
      </c>
    </row>
    <row r="22" spans="1:10" x14ac:dyDescent="0.3">
      <c r="A22" t="s">
        <v>453</v>
      </c>
      <c r="B22" t="s">
        <v>72</v>
      </c>
      <c r="C22" t="s">
        <v>454</v>
      </c>
      <c r="D22" t="s">
        <v>411</v>
      </c>
      <c r="E22" s="1">
        <v>45412</v>
      </c>
      <c r="F22" s="1">
        <v>45432</v>
      </c>
      <c r="G22" t="s">
        <v>14</v>
      </c>
      <c r="H22">
        <v>20</v>
      </c>
      <c r="I22" t="s">
        <v>25</v>
      </c>
      <c r="J22" t="s">
        <v>64</v>
      </c>
    </row>
    <row r="23" spans="1:10" x14ac:dyDescent="0.3">
      <c r="A23" t="s">
        <v>455</v>
      </c>
      <c r="B23" t="s">
        <v>72</v>
      </c>
      <c r="C23" t="s">
        <v>456</v>
      </c>
      <c r="D23" t="s">
        <v>418</v>
      </c>
      <c r="E23" s="1">
        <v>45473</v>
      </c>
      <c r="G23" t="s">
        <v>34</v>
      </c>
      <c r="I23" t="s">
        <v>25</v>
      </c>
      <c r="J23" t="s">
        <v>64</v>
      </c>
    </row>
    <row r="24" spans="1:10" x14ac:dyDescent="0.3">
      <c r="A24" t="s">
        <v>457</v>
      </c>
      <c r="B24" t="s">
        <v>72</v>
      </c>
      <c r="C24" t="s">
        <v>458</v>
      </c>
      <c r="D24" t="s">
        <v>418</v>
      </c>
      <c r="E24" s="1">
        <v>45504</v>
      </c>
      <c r="G24" t="s">
        <v>438</v>
      </c>
      <c r="I24" t="s">
        <v>25</v>
      </c>
      <c r="J24" t="s">
        <v>64</v>
      </c>
    </row>
    <row r="25" spans="1:10" x14ac:dyDescent="0.3">
      <c r="A25" t="s">
        <v>459</v>
      </c>
      <c r="B25" t="s">
        <v>79</v>
      </c>
      <c r="C25" t="s">
        <v>460</v>
      </c>
      <c r="D25" t="s">
        <v>411</v>
      </c>
      <c r="E25" s="1">
        <v>45474</v>
      </c>
      <c r="G25" t="s">
        <v>321</v>
      </c>
      <c r="I25" t="s">
        <v>22</v>
      </c>
      <c r="J25" t="s">
        <v>64</v>
      </c>
    </row>
    <row r="26" spans="1:10" x14ac:dyDescent="0.3">
      <c r="A26" t="s">
        <v>461</v>
      </c>
      <c r="B26" t="s">
        <v>79</v>
      </c>
      <c r="C26" t="s">
        <v>462</v>
      </c>
      <c r="D26" t="s">
        <v>411</v>
      </c>
      <c r="E26" s="1">
        <v>45535</v>
      </c>
      <c r="G26" t="s">
        <v>438</v>
      </c>
      <c r="I26" t="s">
        <v>22</v>
      </c>
      <c r="J26" t="s">
        <v>61</v>
      </c>
    </row>
    <row r="27" spans="1:10" x14ac:dyDescent="0.3">
      <c r="A27" t="s">
        <v>463</v>
      </c>
      <c r="B27" t="s">
        <v>83</v>
      </c>
      <c r="C27" t="s">
        <v>464</v>
      </c>
      <c r="D27" t="s">
        <v>411</v>
      </c>
      <c r="E27" s="1">
        <v>45382</v>
      </c>
      <c r="F27" s="1">
        <v>45402</v>
      </c>
      <c r="G27" t="s">
        <v>14</v>
      </c>
      <c r="H27">
        <v>20</v>
      </c>
      <c r="I27" t="s">
        <v>22</v>
      </c>
      <c r="J27" t="s">
        <v>64</v>
      </c>
    </row>
    <row r="28" spans="1:10" x14ac:dyDescent="0.3">
      <c r="A28" t="s">
        <v>465</v>
      </c>
      <c r="B28" t="s">
        <v>83</v>
      </c>
      <c r="C28" t="s">
        <v>466</v>
      </c>
      <c r="D28" t="s">
        <v>418</v>
      </c>
      <c r="E28" s="1">
        <v>45443</v>
      </c>
      <c r="G28" t="s">
        <v>34</v>
      </c>
      <c r="I28" t="s">
        <v>22</v>
      </c>
      <c r="J28" t="s">
        <v>64</v>
      </c>
    </row>
    <row r="29" spans="1:10" x14ac:dyDescent="0.3">
      <c r="A29" t="s">
        <v>467</v>
      </c>
      <c r="B29" t="s">
        <v>83</v>
      </c>
      <c r="C29" t="s">
        <v>468</v>
      </c>
      <c r="D29" t="s">
        <v>418</v>
      </c>
      <c r="E29" s="1">
        <v>45504</v>
      </c>
      <c r="G29" t="s">
        <v>438</v>
      </c>
      <c r="I29" t="s">
        <v>22</v>
      </c>
      <c r="J29" t="s">
        <v>64</v>
      </c>
    </row>
    <row r="30" spans="1:10" x14ac:dyDescent="0.3">
      <c r="A30" t="s">
        <v>469</v>
      </c>
      <c r="B30" t="s">
        <v>85</v>
      </c>
      <c r="C30" t="s">
        <v>470</v>
      </c>
      <c r="D30" t="s">
        <v>411</v>
      </c>
      <c r="E30" s="1">
        <v>45444</v>
      </c>
      <c r="F30" s="1">
        <v>45448</v>
      </c>
      <c r="G30" t="s">
        <v>14</v>
      </c>
      <c r="H30">
        <v>4</v>
      </c>
      <c r="I30" t="s">
        <v>25</v>
      </c>
      <c r="J30" t="s">
        <v>64</v>
      </c>
    </row>
    <row r="31" spans="1:10" x14ac:dyDescent="0.3">
      <c r="A31" t="s">
        <v>471</v>
      </c>
      <c r="B31" t="s">
        <v>85</v>
      </c>
      <c r="C31" t="s">
        <v>472</v>
      </c>
      <c r="D31" t="s">
        <v>421</v>
      </c>
      <c r="E31" s="1">
        <v>45565</v>
      </c>
      <c r="G31" t="s">
        <v>438</v>
      </c>
      <c r="I31" t="s">
        <v>25</v>
      </c>
      <c r="J31" t="s">
        <v>64</v>
      </c>
    </row>
  </sheetData>
  <dataValidations count="1">
    <dataValidation type="list" allowBlank="1" showInputMessage="1" showErrorMessage="1" sqref="G1:G1048576" xr:uid="{B65E0392-8191-44F8-8271-5B3B0AEC76DF}">
      <formula1>"Completed, In Progress, Delayed, Not Started"</formula1>
    </dataValidation>
  </dataValidations>
  <pageMargins left="0.7" right="0.7" top="0.75" bottom="0.75" header="0.3" footer="0.3"/>
  <headerFooter>
    <oddFooter>&amp;L_x000D_&amp;1#&amp;"Aptos"&amp;10&amp;K000000 Sensitivity: C1-Internal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7FBB-E2E6-4C1C-86AD-54B8786F3723}">
  <dimension ref="A1:J31"/>
  <sheetViews>
    <sheetView workbookViewId="0">
      <pane ySplit="1" topLeftCell="A2" activePane="bottomLeft" state="frozen"/>
      <selection pane="bottomLeft" activeCell="L12" sqref="L12"/>
    </sheetView>
  </sheetViews>
  <sheetFormatPr baseColWidth="10" defaultRowHeight="14.4" x14ac:dyDescent="0.3"/>
  <cols>
    <col min="3" max="3" width="11.5546875" customWidth="1"/>
    <col min="5" max="5" width="15" customWidth="1"/>
    <col min="6" max="6" width="13.5546875" customWidth="1"/>
    <col min="8" max="8" width="16.6640625" customWidth="1"/>
    <col min="10" max="10" width="12.88671875" customWidth="1"/>
  </cols>
  <sheetData>
    <row r="1" spans="1:10" x14ac:dyDescent="0.3">
      <c r="A1" s="13" t="s">
        <v>473</v>
      </c>
      <c r="B1" s="14" t="s">
        <v>0</v>
      </c>
      <c r="C1" s="14" t="s">
        <v>514</v>
      </c>
      <c r="D1" s="14" t="s">
        <v>474</v>
      </c>
      <c r="E1" s="14" t="s">
        <v>475</v>
      </c>
      <c r="F1" s="14" t="s">
        <v>476</v>
      </c>
      <c r="G1" s="14" t="s">
        <v>477</v>
      </c>
      <c r="H1" s="14" t="s">
        <v>478</v>
      </c>
      <c r="I1" s="14" t="s">
        <v>479</v>
      </c>
      <c r="J1" s="15" t="s">
        <v>480</v>
      </c>
    </row>
    <row r="2" spans="1:10" x14ac:dyDescent="0.3">
      <c r="A2" s="4" t="s">
        <v>481</v>
      </c>
      <c r="B2" s="2" t="s">
        <v>63</v>
      </c>
      <c r="C2" s="2" t="str">
        <f>_xlfn.XLOOKUP(BUDGET_TRACKING[[#This Row],[ProjectID]],PROJECTS!A:A,PROJECTS!B:B,"Not Found")</f>
        <v>ERP System Upgrade</v>
      </c>
      <c r="D2" s="3">
        <v>45292</v>
      </c>
      <c r="E2" s="2">
        <v>85000</v>
      </c>
      <c r="F2" s="2">
        <v>82000</v>
      </c>
      <c r="G2" s="2">
        <f>BUDGET_TRACKING[[#This Row],[ActualSpend]]-BUDGET_TRACKING[[#This Row],[PlannedSpend]]</f>
        <v>-3000</v>
      </c>
      <c r="H2" s="17">
        <f>(BUDGET_TRACKING[[#This Row],[Variance]]/BUDGET_TRACKING[[#This Row],[PlannedSpend]])*100</f>
        <v>-3.5294117647058822</v>
      </c>
      <c r="I2" s="2" t="s">
        <v>482</v>
      </c>
      <c r="J2" s="5" t="s">
        <v>12</v>
      </c>
    </row>
    <row r="3" spans="1:10" x14ac:dyDescent="0.3">
      <c r="A3" s="4" t="s">
        <v>483</v>
      </c>
      <c r="B3" s="2" t="s">
        <v>63</v>
      </c>
      <c r="C3" s="2" t="str">
        <f>_xlfn.XLOOKUP(BUDGET_TRACKING[[#This Row],[ProjectID]],PROJECTS!A:A,PROJECTS!B:B,"Not Found")</f>
        <v>ERP System Upgrade</v>
      </c>
      <c r="D3" s="3">
        <v>45323</v>
      </c>
      <c r="E3" s="2">
        <v>95000</v>
      </c>
      <c r="F3" s="2">
        <v>98500</v>
      </c>
      <c r="G3" s="2">
        <f>BUDGET_TRACKING[[#This Row],[ActualSpend]]-BUDGET_TRACKING[[#This Row],[PlannedSpend]]</f>
        <v>3500</v>
      </c>
      <c r="H3" s="17">
        <f>(BUDGET_TRACKING[[#This Row],[Variance]]/BUDGET_TRACKING[[#This Row],[PlannedSpend]])*100</f>
        <v>3.6842105263157889</v>
      </c>
      <c r="I3" s="2" t="s">
        <v>482</v>
      </c>
      <c r="J3" s="5" t="s">
        <v>12</v>
      </c>
    </row>
    <row r="4" spans="1:10" x14ac:dyDescent="0.3">
      <c r="A4" s="4" t="s">
        <v>484</v>
      </c>
      <c r="B4" s="2" t="s">
        <v>63</v>
      </c>
      <c r="C4" s="2" t="str">
        <f>_xlfn.XLOOKUP(BUDGET_TRACKING[[#This Row],[ProjectID]],PROJECTS!A:A,PROJECTS!B:B,"Not Found")</f>
        <v>ERP System Upgrade</v>
      </c>
      <c r="D4" s="3">
        <v>45352</v>
      </c>
      <c r="E4" s="2">
        <v>120000</v>
      </c>
      <c r="F4" s="2">
        <v>135000</v>
      </c>
      <c r="G4" s="2">
        <f>BUDGET_TRACKING[[#This Row],[ActualSpend]]-BUDGET_TRACKING[[#This Row],[PlannedSpend]]</f>
        <v>15000</v>
      </c>
      <c r="H4" s="17">
        <f>(BUDGET_TRACKING[[#This Row],[Variance]]/BUDGET_TRACKING[[#This Row],[PlannedSpend]])*100</f>
        <v>12.5</v>
      </c>
      <c r="I4" s="2" t="s">
        <v>485</v>
      </c>
      <c r="J4" s="5" t="s">
        <v>12</v>
      </c>
    </row>
    <row r="5" spans="1:10" x14ac:dyDescent="0.3">
      <c r="A5" s="4" t="s">
        <v>486</v>
      </c>
      <c r="B5" s="2" t="s">
        <v>63</v>
      </c>
      <c r="C5" s="2" t="str">
        <f>_xlfn.XLOOKUP(BUDGET_TRACKING[[#This Row],[ProjectID]],PROJECTS!A:A,PROJECTS!B:B,"Not Found")</f>
        <v>ERP System Upgrade</v>
      </c>
      <c r="D5" s="3">
        <v>45383</v>
      </c>
      <c r="E5" s="2">
        <v>180000</v>
      </c>
      <c r="F5" s="2">
        <v>195000</v>
      </c>
      <c r="G5" s="2">
        <f>BUDGET_TRACKING[[#This Row],[ActualSpend]]-BUDGET_TRACKING[[#This Row],[PlannedSpend]]</f>
        <v>15000</v>
      </c>
      <c r="H5" s="17">
        <f>(BUDGET_TRACKING[[#This Row],[Variance]]/BUDGET_TRACKING[[#This Row],[PlannedSpend]])*100</f>
        <v>8.3333333333333321</v>
      </c>
      <c r="I5" s="2" t="s">
        <v>485</v>
      </c>
      <c r="J5" s="5" t="s">
        <v>12</v>
      </c>
    </row>
    <row r="6" spans="1:10" x14ac:dyDescent="0.3">
      <c r="A6" s="4" t="s">
        <v>487</v>
      </c>
      <c r="B6" s="2" t="s">
        <v>63</v>
      </c>
      <c r="C6" s="2" t="str">
        <f>_xlfn.XLOOKUP(BUDGET_TRACKING[[#This Row],[ProjectID]],PROJECTS!A:A,PROJECTS!B:B,"Not Found")</f>
        <v>ERP System Upgrade</v>
      </c>
      <c r="D6" s="3">
        <v>45413</v>
      </c>
      <c r="E6" s="2">
        <v>200000</v>
      </c>
      <c r="F6" s="2">
        <v>218000</v>
      </c>
      <c r="G6" s="2">
        <f>BUDGET_TRACKING[[#This Row],[ActualSpend]]-BUDGET_TRACKING[[#This Row],[PlannedSpend]]</f>
        <v>18000</v>
      </c>
      <c r="H6" s="17">
        <f>(BUDGET_TRACKING[[#This Row],[Variance]]/BUDGET_TRACKING[[#This Row],[PlannedSpend]])*100</f>
        <v>9</v>
      </c>
      <c r="I6" s="2" t="s">
        <v>488</v>
      </c>
      <c r="J6" s="5" t="s">
        <v>12</v>
      </c>
    </row>
    <row r="7" spans="1:10" x14ac:dyDescent="0.3">
      <c r="A7" s="4" t="s">
        <v>489</v>
      </c>
      <c r="B7" s="2" t="s">
        <v>63</v>
      </c>
      <c r="C7" s="2" t="str">
        <f>_xlfn.XLOOKUP(BUDGET_TRACKING[[#This Row],[ProjectID]],PROJECTS!A:A,PROJECTS!B:B,"Not Found")</f>
        <v>ERP System Upgrade</v>
      </c>
      <c r="D7" s="3">
        <v>45444</v>
      </c>
      <c r="E7" s="2">
        <v>170000</v>
      </c>
      <c r="F7" s="2">
        <v>168500</v>
      </c>
      <c r="G7" s="2">
        <f>BUDGET_TRACKING[[#This Row],[ActualSpend]]-BUDGET_TRACKING[[#This Row],[PlannedSpend]]</f>
        <v>-1500</v>
      </c>
      <c r="H7" s="17">
        <f>(BUDGET_TRACKING[[#This Row],[Variance]]/BUDGET_TRACKING[[#This Row],[PlannedSpend]])*100</f>
        <v>-0.88235294117647056</v>
      </c>
      <c r="I7" s="2" t="s">
        <v>482</v>
      </c>
      <c r="J7" s="5" t="s">
        <v>12</v>
      </c>
    </row>
    <row r="8" spans="1:10" x14ac:dyDescent="0.3">
      <c r="A8" s="4" t="s">
        <v>490</v>
      </c>
      <c r="B8" s="2" t="s">
        <v>65</v>
      </c>
      <c r="C8" s="2" t="str">
        <f>_xlfn.XLOOKUP(BUDGET_TRACKING[[#This Row],[ProjectID]],PROJECTS!A:A,PROJECTS!B:B,"Not Found")</f>
        <v>SOX Remediation Program</v>
      </c>
      <c r="D8" s="3">
        <v>45323</v>
      </c>
      <c r="E8" s="2">
        <v>25000</v>
      </c>
      <c r="F8" s="2">
        <v>24500</v>
      </c>
      <c r="G8" s="2">
        <f>BUDGET_TRACKING[[#This Row],[ActualSpend]]-BUDGET_TRACKING[[#This Row],[PlannedSpend]]</f>
        <v>-500</v>
      </c>
      <c r="H8" s="17">
        <f>(BUDGET_TRACKING[[#This Row],[Variance]]/BUDGET_TRACKING[[#This Row],[PlannedSpend]])*100</f>
        <v>-2</v>
      </c>
      <c r="I8" s="2" t="s">
        <v>482</v>
      </c>
      <c r="J8" s="5" t="s">
        <v>18</v>
      </c>
    </row>
    <row r="9" spans="1:10" x14ac:dyDescent="0.3">
      <c r="A9" s="4" t="s">
        <v>491</v>
      </c>
      <c r="B9" s="2" t="s">
        <v>65</v>
      </c>
      <c r="C9" s="2" t="str">
        <f>_xlfn.XLOOKUP(BUDGET_TRACKING[[#This Row],[ProjectID]],PROJECTS!A:A,PROJECTS!B:B,"Not Found")</f>
        <v>SOX Remediation Program</v>
      </c>
      <c r="D9" s="3">
        <v>45352</v>
      </c>
      <c r="E9" s="2">
        <v>28000</v>
      </c>
      <c r="F9" s="2">
        <v>27000</v>
      </c>
      <c r="G9" s="2">
        <f>BUDGET_TRACKING[[#This Row],[ActualSpend]]-BUDGET_TRACKING[[#This Row],[PlannedSpend]]</f>
        <v>-1000</v>
      </c>
      <c r="H9" s="17">
        <f>(BUDGET_TRACKING[[#This Row],[Variance]]/BUDGET_TRACKING[[#This Row],[PlannedSpend]])*100</f>
        <v>-3.5714285714285712</v>
      </c>
      <c r="I9" s="2" t="s">
        <v>482</v>
      </c>
      <c r="J9" s="5" t="s">
        <v>18</v>
      </c>
    </row>
    <row r="10" spans="1:10" x14ac:dyDescent="0.3">
      <c r="A10" s="4" t="s">
        <v>492</v>
      </c>
      <c r="B10" s="2" t="s">
        <v>65</v>
      </c>
      <c r="C10" s="2" t="str">
        <f>_xlfn.XLOOKUP(BUDGET_TRACKING[[#This Row],[ProjectID]],PROJECTS!A:A,PROJECTS!B:B,"Not Found")</f>
        <v>SOX Remediation Program</v>
      </c>
      <c r="D10" s="3">
        <v>45383</v>
      </c>
      <c r="E10" s="2">
        <v>32000</v>
      </c>
      <c r="F10" s="2">
        <v>35500</v>
      </c>
      <c r="G10" s="2">
        <f>BUDGET_TRACKING[[#This Row],[ActualSpend]]-BUDGET_TRACKING[[#This Row],[PlannedSpend]]</f>
        <v>3500</v>
      </c>
      <c r="H10" s="17">
        <f>(BUDGET_TRACKING[[#This Row],[Variance]]/BUDGET_TRACKING[[#This Row],[PlannedSpend]])*100</f>
        <v>10.9375</v>
      </c>
      <c r="I10" s="2" t="s">
        <v>488</v>
      </c>
      <c r="J10" s="5" t="s">
        <v>18</v>
      </c>
    </row>
    <row r="11" spans="1:10" x14ac:dyDescent="0.3">
      <c r="A11" s="4" t="s">
        <v>493</v>
      </c>
      <c r="B11" s="2" t="s">
        <v>65</v>
      </c>
      <c r="C11" s="2" t="str">
        <f>_xlfn.XLOOKUP(BUDGET_TRACKING[[#This Row],[ProjectID]],PROJECTS!A:A,PROJECTS!B:B,"Not Found")</f>
        <v>SOX Remediation Program</v>
      </c>
      <c r="D11" s="3">
        <v>45413</v>
      </c>
      <c r="E11" s="2">
        <v>35000</v>
      </c>
      <c r="F11" s="2">
        <v>38000</v>
      </c>
      <c r="G11" s="2">
        <f>BUDGET_TRACKING[[#This Row],[ActualSpend]]-BUDGET_TRACKING[[#This Row],[PlannedSpend]]</f>
        <v>3000</v>
      </c>
      <c r="H11" s="17">
        <f>(BUDGET_TRACKING[[#This Row],[Variance]]/BUDGET_TRACKING[[#This Row],[PlannedSpend]])*100</f>
        <v>8.5714285714285712</v>
      </c>
      <c r="I11" s="2" t="s">
        <v>488</v>
      </c>
      <c r="J11" s="5" t="s">
        <v>18</v>
      </c>
    </row>
    <row r="12" spans="1:10" x14ac:dyDescent="0.3">
      <c r="A12" s="4" t="s">
        <v>494</v>
      </c>
      <c r="B12" s="2" t="s">
        <v>66</v>
      </c>
      <c r="C12" s="2" t="str">
        <f>_xlfn.XLOOKUP(BUDGET_TRACKING[[#This Row],[ProjectID]],PROJECTS!A:A,PROJECTS!B:B,"Not Found")</f>
        <v>Cloud Infrastructure Migration</v>
      </c>
      <c r="D12" s="3">
        <v>45352</v>
      </c>
      <c r="E12" s="2">
        <v>80000</v>
      </c>
      <c r="F12" s="2">
        <v>78000</v>
      </c>
      <c r="G12" s="2">
        <f>BUDGET_TRACKING[[#This Row],[ActualSpend]]-BUDGET_TRACKING[[#This Row],[PlannedSpend]]</f>
        <v>-2000</v>
      </c>
      <c r="H12" s="17">
        <f>(BUDGET_TRACKING[[#This Row],[Variance]]/BUDGET_TRACKING[[#This Row],[PlannedSpend]])*100</f>
        <v>-2.5</v>
      </c>
      <c r="I12" s="2" t="s">
        <v>482</v>
      </c>
      <c r="J12" s="5" t="s">
        <v>22</v>
      </c>
    </row>
    <row r="13" spans="1:10" x14ac:dyDescent="0.3">
      <c r="A13" s="4" t="s">
        <v>495</v>
      </c>
      <c r="B13" s="2" t="s">
        <v>66</v>
      </c>
      <c r="C13" s="2" t="str">
        <f>_xlfn.XLOOKUP(BUDGET_TRACKING[[#This Row],[ProjectID]],PROJECTS!A:A,PROJECTS!B:B,"Not Found")</f>
        <v>Cloud Infrastructure Migration</v>
      </c>
      <c r="D13" s="3">
        <v>45383</v>
      </c>
      <c r="E13" s="2">
        <v>120000</v>
      </c>
      <c r="F13" s="2">
        <v>125000</v>
      </c>
      <c r="G13" s="2">
        <f>BUDGET_TRACKING[[#This Row],[ActualSpend]]-BUDGET_TRACKING[[#This Row],[PlannedSpend]]</f>
        <v>5000</v>
      </c>
      <c r="H13" s="17">
        <f>(BUDGET_TRACKING[[#This Row],[Variance]]/BUDGET_TRACKING[[#This Row],[PlannedSpend]])*100</f>
        <v>4.1666666666666661</v>
      </c>
      <c r="I13" s="2" t="s">
        <v>485</v>
      </c>
      <c r="J13" s="5" t="s">
        <v>22</v>
      </c>
    </row>
    <row r="14" spans="1:10" x14ac:dyDescent="0.3">
      <c r="A14" s="4" t="s">
        <v>496</v>
      </c>
      <c r="B14" s="2" t="s">
        <v>66</v>
      </c>
      <c r="C14" s="2" t="str">
        <f>_xlfn.XLOOKUP(BUDGET_TRACKING[[#This Row],[ProjectID]],PROJECTS!A:A,PROJECTS!B:B,"Not Found")</f>
        <v>Cloud Infrastructure Migration</v>
      </c>
      <c r="D14" s="3">
        <v>45413</v>
      </c>
      <c r="E14" s="2">
        <v>180000</v>
      </c>
      <c r="F14" s="2">
        <v>210000</v>
      </c>
      <c r="G14" s="2">
        <f>BUDGET_TRACKING[[#This Row],[ActualSpend]]-BUDGET_TRACKING[[#This Row],[PlannedSpend]]</f>
        <v>30000</v>
      </c>
      <c r="H14" s="17">
        <f>(BUDGET_TRACKING[[#This Row],[Variance]]/BUDGET_TRACKING[[#This Row],[PlannedSpend]])*100</f>
        <v>16.666666666666664</v>
      </c>
      <c r="I14" s="2" t="s">
        <v>485</v>
      </c>
      <c r="J14" s="5" t="s">
        <v>22</v>
      </c>
    </row>
    <row r="15" spans="1:10" x14ac:dyDescent="0.3">
      <c r="A15" s="4" t="s">
        <v>497</v>
      </c>
      <c r="B15" s="2" t="s">
        <v>66</v>
      </c>
      <c r="C15" s="2" t="str">
        <f>_xlfn.XLOOKUP(BUDGET_TRACKING[[#This Row],[ProjectID]],PROJECTS!A:A,PROJECTS!B:B,"Not Found")</f>
        <v>Cloud Infrastructure Migration</v>
      </c>
      <c r="D15" s="3">
        <v>45444</v>
      </c>
      <c r="E15" s="2">
        <v>220000</v>
      </c>
      <c r="F15" s="2">
        <v>255000</v>
      </c>
      <c r="G15" s="2">
        <f>BUDGET_TRACKING[[#This Row],[ActualSpend]]-BUDGET_TRACKING[[#This Row],[PlannedSpend]]</f>
        <v>35000</v>
      </c>
      <c r="H15" s="17">
        <f>(BUDGET_TRACKING[[#This Row],[Variance]]/BUDGET_TRACKING[[#This Row],[PlannedSpend]])*100</f>
        <v>15.909090909090908</v>
      </c>
      <c r="I15" s="2" t="s">
        <v>488</v>
      </c>
      <c r="J15" s="5" t="s">
        <v>22</v>
      </c>
    </row>
    <row r="16" spans="1:10" x14ac:dyDescent="0.3">
      <c r="A16" s="4" t="s">
        <v>498</v>
      </c>
      <c r="B16" s="2" t="s">
        <v>68</v>
      </c>
      <c r="C16" s="2" t="str">
        <f>_xlfn.XLOOKUP(BUDGET_TRACKING[[#This Row],[ProjectID]],PROJECTS!A:A,PROJECTS!B:B,"Not Found")</f>
        <v>Data Warehouse Consolidation</v>
      </c>
      <c r="D16" s="3">
        <v>45292</v>
      </c>
      <c r="E16" s="2">
        <v>60000</v>
      </c>
      <c r="F16" s="2">
        <v>58000</v>
      </c>
      <c r="G16" s="2">
        <f>BUDGET_TRACKING[[#This Row],[ActualSpend]]-BUDGET_TRACKING[[#This Row],[PlannedSpend]]</f>
        <v>-2000</v>
      </c>
      <c r="H16" s="17">
        <f>(BUDGET_TRACKING[[#This Row],[Variance]]/BUDGET_TRACKING[[#This Row],[PlannedSpend]])*100</f>
        <v>-3.3333333333333335</v>
      </c>
      <c r="I16" s="2" t="s">
        <v>482</v>
      </c>
      <c r="J16" s="5" t="s">
        <v>12</v>
      </c>
    </row>
    <row r="17" spans="1:10" x14ac:dyDescent="0.3">
      <c r="A17" s="4" t="s">
        <v>499</v>
      </c>
      <c r="B17" s="2" t="s">
        <v>68</v>
      </c>
      <c r="C17" s="2" t="str">
        <f>_xlfn.XLOOKUP(BUDGET_TRACKING[[#This Row],[ProjectID]],PROJECTS!A:A,PROJECTS!B:B,"Not Found")</f>
        <v>Data Warehouse Consolidation</v>
      </c>
      <c r="D17" s="3">
        <v>45323</v>
      </c>
      <c r="E17" s="2">
        <v>75000</v>
      </c>
      <c r="F17" s="2">
        <v>74000</v>
      </c>
      <c r="G17" s="2">
        <f>BUDGET_TRACKING[[#This Row],[ActualSpend]]-BUDGET_TRACKING[[#This Row],[PlannedSpend]]</f>
        <v>-1000</v>
      </c>
      <c r="H17" s="17">
        <f>(BUDGET_TRACKING[[#This Row],[Variance]]/BUDGET_TRACKING[[#This Row],[PlannedSpend]])*100</f>
        <v>-1.3333333333333335</v>
      </c>
      <c r="I17" s="2" t="s">
        <v>482</v>
      </c>
      <c r="J17" s="5" t="s">
        <v>12</v>
      </c>
    </row>
    <row r="18" spans="1:10" x14ac:dyDescent="0.3">
      <c r="A18" s="4" t="s">
        <v>500</v>
      </c>
      <c r="B18" s="2" t="s">
        <v>68</v>
      </c>
      <c r="C18" s="2" t="str">
        <f>_xlfn.XLOOKUP(BUDGET_TRACKING[[#This Row],[ProjectID]],PROJECTS!A:A,PROJECTS!B:B,"Not Found")</f>
        <v>Data Warehouse Consolidation</v>
      </c>
      <c r="D18" s="3">
        <v>45352</v>
      </c>
      <c r="E18" s="2">
        <v>90000</v>
      </c>
      <c r="F18" s="2">
        <v>95000</v>
      </c>
      <c r="G18" s="2">
        <f>BUDGET_TRACKING[[#This Row],[ActualSpend]]-BUDGET_TRACKING[[#This Row],[PlannedSpend]]</f>
        <v>5000</v>
      </c>
      <c r="H18" s="17">
        <f>(BUDGET_TRACKING[[#This Row],[Variance]]/BUDGET_TRACKING[[#This Row],[PlannedSpend]])*100</f>
        <v>5.5555555555555554</v>
      </c>
      <c r="I18" s="2" t="s">
        <v>485</v>
      </c>
      <c r="J18" s="5" t="s">
        <v>12</v>
      </c>
    </row>
    <row r="19" spans="1:10" x14ac:dyDescent="0.3">
      <c r="A19" s="4" t="s">
        <v>501</v>
      </c>
      <c r="B19" s="2" t="s">
        <v>68</v>
      </c>
      <c r="C19" s="2" t="str">
        <f>_xlfn.XLOOKUP(BUDGET_TRACKING[[#This Row],[ProjectID]],PROJECTS!A:A,PROJECTS!B:B,"Not Found")</f>
        <v>Data Warehouse Consolidation</v>
      </c>
      <c r="D19" s="3">
        <v>45383</v>
      </c>
      <c r="E19" s="2">
        <v>110000</v>
      </c>
      <c r="F19" s="2">
        <v>108000</v>
      </c>
      <c r="G19" s="2">
        <f>BUDGET_TRACKING[[#This Row],[ActualSpend]]-BUDGET_TRACKING[[#This Row],[PlannedSpend]]</f>
        <v>-2000</v>
      </c>
      <c r="H19" s="17">
        <f>(BUDGET_TRACKING[[#This Row],[Variance]]/BUDGET_TRACKING[[#This Row],[PlannedSpend]])*100</f>
        <v>-1.8181818181818181</v>
      </c>
      <c r="I19" s="2" t="s">
        <v>485</v>
      </c>
      <c r="J19" s="5" t="s">
        <v>12</v>
      </c>
    </row>
    <row r="20" spans="1:10" x14ac:dyDescent="0.3">
      <c r="A20" s="4" t="s">
        <v>502</v>
      </c>
      <c r="B20" s="2" t="s">
        <v>71</v>
      </c>
      <c r="C20" s="2" t="str">
        <f>_xlfn.XLOOKUP(BUDGET_TRACKING[[#This Row],[ProjectID]],PROJECTS!A:A,PROJECTS!B:B,"Not Found")</f>
        <v>Cybersecurity Framework Update</v>
      </c>
      <c r="D20" s="3">
        <v>45323</v>
      </c>
      <c r="E20" s="2">
        <v>35000</v>
      </c>
      <c r="F20" s="2">
        <v>34000</v>
      </c>
      <c r="G20" s="2">
        <f>BUDGET_TRACKING[[#This Row],[ActualSpend]]-BUDGET_TRACKING[[#This Row],[PlannedSpend]]</f>
        <v>-1000</v>
      </c>
      <c r="H20" s="17">
        <f>(BUDGET_TRACKING[[#This Row],[Variance]]/BUDGET_TRACKING[[#This Row],[PlannedSpend]])*100</f>
        <v>-2.8571428571428572</v>
      </c>
      <c r="I20" s="2" t="s">
        <v>482</v>
      </c>
      <c r="J20" s="5" t="s">
        <v>22</v>
      </c>
    </row>
    <row r="21" spans="1:10" x14ac:dyDescent="0.3">
      <c r="A21" s="4" t="s">
        <v>503</v>
      </c>
      <c r="B21" s="2" t="s">
        <v>71</v>
      </c>
      <c r="C21" s="2" t="str">
        <f>_xlfn.XLOOKUP(BUDGET_TRACKING[[#This Row],[ProjectID]],PROJECTS!A:A,PROJECTS!B:B,"Not Found")</f>
        <v>Cybersecurity Framework Update</v>
      </c>
      <c r="D21" s="3">
        <v>45352</v>
      </c>
      <c r="E21" s="2">
        <v>45000</v>
      </c>
      <c r="F21" s="2">
        <v>47000</v>
      </c>
      <c r="G21" s="2">
        <f>BUDGET_TRACKING[[#This Row],[ActualSpend]]-BUDGET_TRACKING[[#This Row],[PlannedSpend]]</f>
        <v>2000</v>
      </c>
      <c r="H21" s="17">
        <f>(BUDGET_TRACKING[[#This Row],[Variance]]/BUDGET_TRACKING[[#This Row],[PlannedSpend]])*100</f>
        <v>4.4444444444444446</v>
      </c>
      <c r="I21" s="2" t="s">
        <v>485</v>
      </c>
      <c r="J21" s="5" t="s">
        <v>22</v>
      </c>
    </row>
    <row r="22" spans="1:10" x14ac:dyDescent="0.3">
      <c r="A22" s="4" t="s">
        <v>504</v>
      </c>
      <c r="B22" s="2" t="s">
        <v>71</v>
      </c>
      <c r="C22" s="2" t="str">
        <f>_xlfn.XLOOKUP(BUDGET_TRACKING[[#This Row],[ProjectID]],PROJECTS!A:A,PROJECTS!B:B,"Not Found")</f>
        <v>Cybersecurity Framework Update</v>
      </c>
      <c r="D22" s="3">
        <v>45383</v>
      </c>
      <c r="E22" s="2">
        <v>60000</v>
      </c>
      <c r="F22" s="2">
        <v>65000</v>
      </c>
      <c r="G22" s="2">
        <f>BUDGET_TRACKING[[#This Row],[ActualSpend]]-BUDGET_TRACKING[[#This Row],[PlannedSpend]]</f>
        <v>5000</v>
      </c>
      <c r="H22" s="17">
        <f>(BUDGET_TRACKING[[#This Row],[Variance]]/BUDGET_TRACKING[[#This Row],[PlannedSpend]])*100</f>
        <v>8.3333333333333321</v>
      </c>
      <c r="I22" s="2" t="s">
        <v>488</v>
      </c>
      <c r="J22" s="5" t="s">
        <v>22</v>
      </c>
    </row>
    <row r="23" spans="1:10" x14ac:dyDescent="0.3">
      <c r="A23" s="4" t="s">
        <v>505</v>
      </c>
      <c r="B23" s="2" t="s">
        <v>72</v>
      </c>
      <c r="C23" s="2" t="str">
        <f>_xlfn.XLOOKUP(BUDGET_TRACKING[[#This Row],[ProjectID]],PROJECTS!A:A,PROJECTS!B:B,"Not Found")</f>
        <v>Finance Reporting Automation</v>
      </c>
      <c r="D23" s="3">
        <v>45352</v>
      </c>
      <c r="E23" s="2">
        <v>55000</v>
      </c>
      <c r="F23" s="2">
        <v>54000</v>
      </c>
      <c r="G23" s="2">
        <f>BUDGET_TRACKING[[#This Row],[ActualSpend]]-BUDGET_TRACKING[[#This Row],[PlannedSpend]]</f>
        <v>-1000</v>
      </c>
      <c r="H23" s="17">
        <f>(BUDGET_TRACKING[[#This Row],[Variance]]/BUDGET_TRACKING[[#This Row],[PlannedSpend]])*100</f>
        <v>-1.8181818181818181</v>
      </c>
      <c r="I23" s="2" t="s">
        <v>482</v>
      </c>
      <c r="J23" s="5" t="s">
        <v>25</v>
      </c>
    </row>
    <row r="24" spans="1:10" x14ac:dyDescent="0.3">
      <c r="A24" s="4" t="s">
        <v>506</v>
      </c>
      <c r="B24" s="2" t="s">
        <v>72</v>
      </c>
      <c r="C24" s="2" t="str">
        <f>_xlfn.XLOOKUP(BUDGET_TRACKING[[#This Row],[ProjectID]],PROJECTS!A:A,PROJECTS!B:B,"Not Found")</f>
        <v>Finance Reporting Automation</v>
      </c>
      <c r="D24" s="3">
        <v>45383</v>
      </c>
      <c r="E24" s="2">
        <v>80000</v>
      </c>
      <c r="F24" s="2">
        <v>88000</v>
      </c>
      <c r="G24" s="2">
        <f>BUDGET_TRACKING[[#This Row],[ActualSpend]]-BUDGET_TRACKING[[#This Row],[PlannedSpend]]</f>
        <v>8000</v>
      </c>
      <c r="H24" s="17">
        <f>(BUDGET_TRACKING[[#This Row],[Variance]]/BUDGET_TRACKING[[#This Row],[PlannedSpend]])*100</f>
        <v>10</v>
      </c>
      <c r="I24" s="2" t="s">
        <v>485</v>
      </c>
      <c r="J24" s="5" t="s">
        <v>25</v>
      </c>
    </row>
    <row r="25" spans="1:10" x14ac:dyDescent="0.3">
      <c r="A25" s="4" t="s">
        <v>507</v>
      </c>
      <c r="B25" s="2" t="s">
        <v>72</v>
      </c>
      <c r="C25" s="2" t="str">
        <f>_xlfn.XLOOKUP(BUDGET_TRACKING[[#This Row],[ProjectID]],PROJECTS!A:A,PROJECTS!B:B,"Not Found")</f>
        <v>Finance Reporting Automation</v>
      </c>
      <c r="D25" s="3">
        <v>45413</v>
      </c>
      <c r="E25" s="2">
        <v>120000</v>
      </c>
      <c r="F25" s="2">
        <v>142000</v>
      </c>
      <c r="G25" s="2">
        <f>BUDGET_TRACKING[[#This Row],[ActualSpend]]-BUDGET_TRACKING[[#This Row],[PlannedSpend]]</f>
        <v>22000</v>
      </c>
      <c r="H25" s="17">
        <f>(BUDGET_TRACKING[[#This Row],[Variance]]/BUDGET_TRACKING[[#This Row],[PlannedSpend]])*100</f>
        <v>18.333333333333332</v>
      </c>
      <c r="I25" s="2" t="s">
        <v>488</v>
      </c>
      <c r="J25" s="5" t="s">
        <v>25</v>
      </c>
    </row>
    <row r="26" spans="1:10" x14ac:dyDescent="0.3">
      <c r="A26" s="4" t="s">
        <v>508</v>
      </c>
      <c r="B26" s="2" t="s">
        <v>72</v>
      </c>
      <c r="C26" s="2" t="str">
        <f>_xlfn.XLOOKUP(BUDGET_TRACKING[[#This Row],[ProjectID]],PROJECTS!A:A,PROJECTS!B:B,"Not Found")</f>
        <v>Finance Reporting Automation</v>
      </c>
      <c r="D26" s="3">
        <v>45444</v>
      </c>
      <c r="E26" s="2">
        <v>150000</v>
      </c>
      <c r="F26" s="2">
        <v>178000</v>
      </c>
      <c r="G26" s="2">
        <f>BUDGET_TRACKING[[#This Row],[ActualSpend]]-BUDGET_TRACKING[[#This Row],[PlannedSpend]]</f>
        <v>28000</v>
      </c>
      <c r="H26" s="17">
        <f>(BUDGET_TRACKING[[#This Row],[Variance]]/BUDGET_TRACKING[[#This Row],[PlannedSpend]])*100</f>
        <v>18.666666666666668</v>
      </c>
      <c r="I26" s="2" t="s">
        <v>488</v>
      </c>
      <c r="J26" s="5" t="s">
        <v>25</v>
      </c>
    </row>
    <row r="27" spans="1:10" x14ac:dyDescent="0.3">
      <c r="A27" s="4" t="s">
        <v>509</v>
      </c>
      <c r="B27" s="2" t="s">
        <v>79</v>
      </c>
      <c r="C27" s="2" t="str">
        <f>_xlfn.XLOOKUP(BUDGET_TRACKING[[#This Row],[ProjectID]],PROJECTS!A:A,PROJECTS!B:B,"Not Found")</f>
        <v>Identity Management Overhaul</v>
      </c>
      <c r="D27" s="3">
        <v>45444</v>
      </c>
      <c r="E27" s="2">
        <v>45000</v>
      </c>
      <c r="F27" s="2">
        <v>43000</v>
      </c>
      <c r="G27" s="2">
        <f>BUDGET_TRACKING[[#This Row],[ActualSpend]]-BUDGET_TRACKING[[#This Row],[PlannedSpend]]</f>
        <v>-2000</v>
      </c>
      <c r="H27" s="17">
        <f>(BUDGET_TRACKING[[#This Row],[Variance]]/BUDGET_TRACKING[[#This Row],[PlannedSpend]])*100</f>
        <v>-4.4444444444444446</v>
      </c>
      <c r="I27" s="2" t="s">
        <v>482</v>
      </c>
      <c r="J27" s="5" t="s">
        <v>22</v>
      </c>
    </row>
    <row r="28" spans="1:10" x14ac:dyDescent="0.3">
      <c r="A28" s="4" t="s">
        <v>510</v>
      </c>
      <c r="B28" s="2" t="s">
        <v>83</v>
      </c>
      <c r="C28" s="2" t="str">
        <f>_xlfn.XLOOKUP(BUDGET_TRACKING[[#This Row],[ProjectID]],PROJECTS!A:A,PROJECTS!B:B,"Not Found")</f>
        <v>IT Disaster Recovery Update</v>
      </c>
      <c r="D28" s="3">
        <v>45323</v>
      </c>
      <c r="E28" s="2">
        <v>30000</v>
      </c>
      <c r="F28" s="2">
        <v>29500</v>
      </c>
      <c r="G28" s="2">
        <f>BUDGET_TRACKING[[#This Row],[ActualSpend]]-BUDGET_TRACKING[[#This Row],[PlannedSpend]]</f>
        <v>-500</v>
      </c>
      <c r="H28" s="17">
        <f>(BUDGET_TRACKING[[#This Row],[Variance]]/BUDGET_TRACKING[[#This Row],[PlannedSpend]])*100</f>
        <v>-1.6666666666666667</v>
      </c>
      <c r="I28" s="2" t="s">
        <v>482</v>
      </c>
      <c r="J28" s="5" t="s">
        <v>22</v>
      </c>
    </row>
    <row r="29" spans="1:10" x14ac:dyDescent="0.3">
      <c r="A29" s="4" t="s">
        <v>511</v>
      </c>
      <c r="B29" s="2" t="s">
        <v>83</v>
      </c>
      <c r="C29" s="2" t="str">
        <f>_xlfn.XLOOKUP(BUDGET_TRACKING[[#This Row],[ProjectID]],PROJECTS!A:A,PROJECTS!B:B,"Not Found")</f>
        <v>IT Disaster Recovery Update</v>
      </c>
      <c r="D29" s="3">
        <v>45352</v>
      </c>
      <c r="E29" s="2">
        <v>40000</v>
      </c>
      <c r="F29" s="2">
        <v>42000</v>
      </c>
      <c r="G29" s="2">
        <f>BUDGET_TRACKING[[#This Row],[ActualSpend]]-BUDGET_TRACKING[[#This Row],[PlannedSpend]]</f>
        <v>2000</v>
      </c>
      <c r="H29" s="17">
        <f>(BUDGET_TRACKING[[#This Row],[Variance]]/BUDGET_TRACKING[[#This Row],[PlannedSpend]])*100</f>
        <v>5</v>
      </c>
      <c r="I29" s="2" t="s">
        <v>485</v>
      </c>
      <c r="J29" s="5" t="s">
        <v>22</v>
      </c>
    </row>
    <row r="30" spans="1:10" x14ac:dyDescent="0.3">
      <c r="A30" s="4" t="s">
        <v>512</v>
      </c>
      <c r="B30" s="2" t="s">
        <v>83</v>
      </c>
      <c r="C30" s="2" t="str">
        <f>_xlfn.XLOOKUP(BUDGET_TRACKING[[#This Row],[ProjectID]],PROJECTS!A:A,PROJECTS!B:B,"Not Found")</f>
        <v>IT Disaster Recovery Update</v>
      </c>
      <c r="D30" s="3">
        <v>45383</v>
      </c>
      <c r="E30" s="2">
        <v>55000</v>
      </c>
      <c r="F30" s="2">
        <v>62000</v>
      </c>
      <c r="G30" s="2">
        <f>BUDGET_TRACKING[[#This Row],[ActualSpend]]-BUDGET_TRACKING[[#This Row],[PlannedSpend]]</f>
        <v>7000</v>
      </c>
      <c r="H30" s="17">
        <f>(BUDGET_TRACKING[[#This Row],[Variance]]/BUDGET_TRACKING[[#This Row],[PlannedSpend]])*100</f>
        <v>12.727272727272727</v>
      </c>
      <c r="I30" s="2" t="s">
        <v>488</v>
      </c>
      <c r="J30" s="5" t="s">
        <v>22</v>
      </c>
    </row>
    <row r="31" spans="1:10" x14ac:dyDescent="0.3">
      <c r="A31" s="6" t="s">
        <v>513</v>
      </c>
      <c r="B31" s="7" t="s">
        <v>85</v>
      </c>
      <c r="C31" s="2" t="str">
        <f>_xlfn.XLOOKUP(BUDGET_TRACKING[[#This Row],[ProjectID]],PROJECTS!A:A,PROJECTS!B:B,"Not Found")</f>
        <v>Payroll System Migration</v>
      </c>
      <c r="D31" s="8">
        <v>45413</v>
      </c>
      <c r="E31" s="7">
        <v>35000</v>
      </c>
      <c r="F31" s="7">
        <v>34000</v>
      </c>
      <c r="G31" s="2">
        <f>BUDGET_TRACKING[[#This Row],[ActualSpend]]-BUDGET_TRACKING[[#This Row],[PlannedSpend]]</f>
        <v>-1000</v>
      </c>
      <c r="H31" s="17">
        <f>(BUDGET_TRACKING[[#This Row],[Variance]]/BUDGET_TRACKING[[#This Row],[PlannedSpend]])*100</f>
        <v>-2.8571428571428572</v>
      </c>
      <c r="I31" s="7" t="s">
        <v>482</v>
      </c>
      <c r="J31" s="9" t="s">
        <v>25</v>
      </c>
    </row>
  </sheetData>
  <conditionalFormatting sqref="H2:H1048576">
    <cfRule type="cellIs" dxfId="2" priority="3" operator="greaterThan">
      <formula>10</formula>
    </cfRule>
  </conditionalFormatting>
  <conditionalFormatting sqref="H1:H1048576">
    <cfRule type="cellIs" dxfId="1" priority="2" operator="between">
      <formula>5</formula>
      <formula>10</formula>
    </cfRule>
    <cfRule type="cellIs" dxfId="0" priority="1" operator="lessThan">
      <formula>0</formula>
    </cfRule>
  </conditionalFormatting>
  <pageMargins left="0.7" right="0.7" top="0.75" bottom="0.75" header="0.3" footer="0.3"/>
  <headerFooter>
    <oddFooter>&amp;L_x000D_&amp;1#&amp;"Aptos"&amp;10&amp;K000000 Sensitivity: C1-Internal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4f9646e7-a2b7-4055-b37c-fae88eceb046}" enabled="1" method="Privileged" siteId="{9bc3d1cd-55ca-4e13-b5a2-a9e9deaeba3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PROJECTS</vt:lpstr>
      <vt:lpstr>CONTROLS</vt:lpstr>
      <vt:lpstr>AUDIT FINDINGS</vt:lpstr>
      <vt:lpstr>MILESTONES</vt:lpstr>
      <vt:lpstr>BUDGET TRACKING</vt:lpstr>
    </vt:vector>
  </TitlesOfParts>
  <Company>ALTEN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Hossame MOUNTASSIR</dc:creator>
  <cp:lastModifiedBy>Hossame MOUNTASSIR</cp:lastModifiedBy>
  <dcterms:created xsi:type="dcterms:W3CDTF">2026-05-09T15:41:46Z</dcterms:created>
  <dcterms:modified xsi:type="dcterms:W3CDTF">2026-05-09T17:55:42Z</dcterms:modified>
</cp:coreProperties>
</file>